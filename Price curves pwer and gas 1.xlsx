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20230089\Downloads\Data examples\"/>
    </mc:Choice>
  </mc:AlternateContent>
  <xr:revisionPtr revIDLastSave="0" documentId="13_ncr:1_{E3FDCDE1-4963-4E6C-ACFA-974323C36F0E}" xr6:coauthVersionLast="47" xr6:coauthVersionMax="47" xr10:uidLastSave="{00000000-0000-0000-0000-000000000000}"/>
  <bookViews>
    <workbookView xWindow="-120" yWindow="-120" windowWidth="20730" windowHeight="11040" activeTab="2" xr2:uid="{B975A19E-5691-4846-9A8C-8821D16D93F5}"/>
  </bookViews>
  <sheets>
    <sheet name="Power" sheetId="1" r:id="rId1"/>
    <sheet name="PowerPrice Calc" sheetId="3" r:id="rId2"/>
    <sheet name="G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3" l="1"/>
  <c r="E65" i="3"/>
  <c r="E64" i="3"/>
  <c r="E63" i="3"/>
  <c r="E62" i="3"/>
  <c r="E61" i="3"/>
  <c r="E60" i="3"/>
  <c r="E59" i="3"/>
  <c r="E58" i="3"/>
  <c r="E57" i="3"/>
  <c r="E56" i="3"/>
  <c r="F54" i="3" s="1"/>
  <c r="E55" i="3"/>
  <c r="P34" i="3"/>
  <c r="I34" i="3"/>
  <c r="G34" i="3"/>
  <c r="F34" i="3"/>
  <c r="P33" i="3"/>
  <c r="I33" i="3"/>
  <c r="G33" i="3"/>
  <c r="F33" i="3"/>
  <c r="P32" i="3"/>
  <c r="I32" i="3"/>
  <c r="G32" i="3"/>
  <c r="F32" i="3"/>
  <c r="P31" i="3"/>
  <c r="I31" i="3"/>
  <c r="G31" i="3"/>
  <c r="F31" i="3"/>
  <c r="P30" i="3"/>
  <c r="I30" i="3"/>
  <c r="G30" i="3"/>
  <c r="F30" i="3"/>
  <c r="P29" i="3"/>
  <c r="I29" i="3"/>
  <c r="G29" i="3"/>
  <c r="F29" i="3"/>
  <c r="P28" i="3"/>
  <c r="I28" i="3"/>
  <c r="G28" i="3"/>
  <c r="F28" i="3"/>
  <c r="P27" i="3"/>
  <c r="I27" i="3"/>
  <c r="G27" i="3"/>
  <c r="F27" i="3"/>
  <c r="P26" i="3"/>
  <c r="I26" i="3"/>
  <c r="G26" i="3"/>
  <c r="F26" i="3"/>
  <c r="P25" i="3"/>
  <c r="I25" i="3"/>
  <c r="G25" i="3"/>
  <c r="F25" i="3"/>
  <c r="P24" i="3"/>
  <c r="I24" i="3"/>
  <c r="G24" i="3"/>
  <c r="F24" i="3"/>
  <c r="P23" i="3"/>
  <c r="Q22" i="3" s="1"/>
  <c r="I23" i="3"/>
  <c r="G23" i="3"/>
  <c r="F23" i="3"/>
  <c r="K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tc={603C8458-6DB3-490A-872C-810E4148414D}</author>
    <author>tc={6B3CC94A-69B4-4356-9502-9AF7B16E6B43}</author>
    <author>tc={1FF153F0-A521-4F19-800B-9CD10E25B39C}</author>
    <author>tc={AD495DA7-FDAF-4295-861D-752504DC171B}</author>
    <author>tc={37F741A8-C388-4CD2-9828-1FFB9E7E2123}</author>
  </authors>
  <commentList>
    <comment ref="X1" authorId="0" shapeId="0" xr:uid="{603C8458-6DB3-490A-872C-810E4148414D}">
      <text>
        <t>[Threaded comment]
Your version of Excel allows you to read this threaded comment; however, any edits to it will get removed if the file is opened in a newer version of Excel. Learn more: https://go.microsoft.com/fwlink/?linkid=870924
Comment:
    GO-tool: BIO
Prisbladet: Non-specific EU Biomass</t>
      </text>
    </comment>
    <comment ref="Y1" authorId="1" shapeId="0" xr:uid="{6B3CC94A-69B4-4356-9502-9AF7B16E6B43}">
      <text>
        <t>[Threaded comment]
Your version of Excel allows you to read this threaded comment; however, any edits to it will get removed if the file is opened in a newer version of Excel. Learn more: https://go.microsoft.com/fwlink/?linkid=870924
Comment:
    GO-tool: RNP
Prisbladet: Any EU Renewables</t>
      </text>
    </comment>
    <comment ref="Z1" authorId="2" shapeId="0" xr:uid="{1FF153F0-A521-4F19-800B-9CD10E25B39C}">
      <text>
        <t>[Threaded comment]
Your version of Excel allows you to read this threaded comment; however, any edits to it will get removed if the file is opened in a newer version of Excel. Learn more: https://go.microsoft.com/fwlink/?linkid=870924
Comment:
    GO-tool: RNPUB
Prisbladet: Any EU Renewables excl. bioenergy</t>
      </text>
    </comment>
    <comment ref="AA1" authorId="3" shapeId="0" xr:uid="{AD495DA7-FDAF-4295-861D-752504DC171B}">
      <text>
        <t>[Threaded comment]
Your version of Excel allows you to read this threaded comment; however, any edits to it will get removed if the file is opened in a newer version of Excel. Learn more: https://go.microsoft.com/fwlink/?linkid=870924
Comment:
    GO-tool: DV
Prisbladet: DK Wind</t>
      </text>
    </comment>
    <comment ref="AB1" authorId="4" shapeId="0" xr:uid="{37F741A8-C388-4CD2-9828-1FFB9E7E2123}">
      <text>
        <t>[Threaded comment]
Your version of Excel allows you to read this threaded comment; however, any edits to it will get removed if the file is opened in a newer version of Excel. Learn more: https://go.microsoft.com/fwlink/?linkid=870924
Comment:
    GO-tool: EUV
Prisbladet: Non-specific EU Wind Assets</t>
      </text>
    </comment>
  </commentList>
</comments>
</file>

<file path=xl/sharedStrings.xml><?xml version="1.0" encoding="utf-8"?>
<sst xmlns="http://schemas.openxmlformats.org/spreadsheetml/2006/main" count="253" uniqueCount="89">
  <si>
    <t>Peak DK1</t>
  </si>
  <si>
    <t>Peak DK2</t>
  </si>
  <si>
    <t>Epad DK1</t>
  </si>
  <si>
    <t>Epad DK2</t>
  </si>
  <si>
    <t xml:space="preserve">System </t>
  </si>
  <si>
    <t>Currency</t>
  </si>
  <si>
    <t>Validity Fee Day 1</t>
  </si>
  <si>
    <t>Validity Fee Day 2</t>
  </si>
  <si>
    <t>Flex Fee</t>
  </si>
  <si>
    <t>Imbalance Fee</t>
  </si>
  <si>
    <t>Trading Fee NASDAQ</t>
  </si>
  <si>
    <t>Trading Fee Nordpool</t>
  </si>
  <si>
    <t>Annual Fee Nordpool</t>
  </si>
  <si>
    <t>GOs (biomass)</t>
  </si>
  <si>
    <t>GOs (Renewables 1)</t>
  </si>
  <si>
    <t>GOs (Renewables 2)</t>
  </si>
  <si>
    <t>GOs
(DK Wind)</t>
  </si>
  <si>
    <t>GOs
(unspecified
EU wind)</t>
  </si>
  <si>
    <t>Bid</t>
  </si>
  <si>
    <t>Ask</t>
  </si>
  <si>
    <t>Close</t>
  </si>
  <si>
    <t>DK1</t>
  </si>
  <si>
    <t>DK2</t>
  </si>
  <si>
    <t>€/MWh</t>
  </si>
  <si>
    <t>(€/DKK)</t>
  </si>
  <si>
    <t>Cls</t>
  </si>
  <si>
    <t>VAL1FEE</t>
  </si>
  <si>
    <t>VAL2FEE</t>
  </si>
  <si>
    <t>ProfileFee</t>
  </si>
  <si>
    <t>BalanceFee</t>
  </si>
  <si>
    <t>TRAD2FEE</t>
  </si>
  <si>
    <t>TRAD1FEE</t>
  </si>
  <si>
    <t>ANNUALFEE</t>
  </si>
  <si>
    <t>Startdato</t>
  </si>
  <si>
    <t>THE</t>
  </si>
  <si>
    <t>TTF</t>
  </si>
  <si>
    <t>Validity</t>
  </si>
  <si>
    <t>Validity + 1</t>
  </si>
  <si>
    <t>ETF-THE spread</t>
  </si>
  <si>
    <t>THE-TTF spread</t>
  </si>
  <si>
    <t>ETF index</t>
  </si>
  <si>
    <t>THE index</t>
  </si>
  <si>
    <t>ETF profile</t>
  </si>
  <si>
    <t>THE profile</t>
  </si>
  <si>
    <t>TTF profile</t>
  </si>
  <si>
    <t>MA profile</t>
  </si>
  <si>
    <t>Payment fee</t>
  </si>
  <si>
    <t>Imbalance</t>
  </si>
  <si>
    <t>EXCOM spot
mid-ask</t>
  </si>
  <si>
    <t>Illiquidity</t>
  </si>
  <si>
    <t>Currency risk</t>
  </si>
  <si>
    <t>ENDK
DK</t>
  </si>
  <si>
    <t>REDcert
DK</t>
  </si>
  <si>
    <t>ENDK
SE</t>
  </si>
  <si>
    <t>REDcert
SE</t>
  </si>
  <si>
    <t>(øre/m³)</t>
  </si>
  <si>
    <t>(øre/kWhn)</t>
  </si>
  <si>
    <t>(€/SEK)</t>
  </si>
  <si>
    <t>AreaFee</t>
  </si>
  <si>
    <t>IndexFee</t>
  </si>
  <si>
    <t>PaymentFee</t>
  </si>
  <si>
    <t>MidAskFee</t>
  </si>
  <si>
    <t>CMDTYPROF</t>
  </si>
  <si>
    <t>CURRISKFEE</t>
  </si>
  <si>
    <t>Danish curves</t>
  </si>
  <si>
    <t>Swedish curves</t>
  </si>
  <si>
    <t>Biogas curves</t>
  </si>
  <si>
    <t>Color code:</t>
  </si>
  <si>
    <t>Base ratio</t>
  </si>
  <si>
    <t>Coming from Pricing tool</t>
  </si>
  <si>
    <t>Base DK1</t>
  </si>
  <si>
    <t>Estimated</t>
  </si>
  <si>
    <t>Weighted</t>
  </si>
  <si>
    <t>consumption</t>
  </si>
  <si>
    <t>average</t>
  </si>
  <si>
    <t>Nord Pool Annual Fee</t>
  </si>
  <si>
    <t>Estimated consumption</t>
  </si>
  <si>
    <t>Final monthly Nord Pool Annual Fee</t>
  </si>
  <si>
    <t>Weighted Average</t>
  </si>
  <si>
    <t>Øre/kWh</t>
  </si>
  <si>
    <t>kWh</t>
  </si>
  <si>
    <t>Peak DK1 = Peak DK1*Currency Close/10</t>
  </si>
  <si>
    <t>Base DK1 = (Epad DK1+System)*Currency Close/10</t>
  </si>
  <si>
    <t>Final monthly prices= Base DK1 (Ask)*Base ratio+(1-Base ratio)*Peak DK1(Ask)</t>
  </si>
  <si>
    <t>Prep curve in general:</t>
  </si>
  <si>
    <t>With a monthly charge calculated as: monthly fee * monthly expected delivery volume, for the customer's metering points entering the offer, for each month of the delivery period and weighted by the customer’s total expected volume/price to reach at a fee in øre/kWh.</t>
  </si>
  <si>
    <t>Final monthly Imbalnce Fee</t>
  </si>
  <si>
    <t>Start date</t>
  </si>
  <si>
    <t>ETF/GTF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</si>
</sst>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-mm\-yyyy"/>
    <numFmt numFmtId="165" formatCode="##0.00"/>
    <numFmt numFmtId="166" formatCode="##0.000"/>
    <numFmt numFmtId="167" formatCode="#,##0.000"/>
    <numFmt numFmtId="168" formatCode="0.0%"/>
    <numFmt numFmtId="169" formatCode="_-* #,##0.00_-;\-* #,##0.00_-;_-* &quot;-&quot;??_-;_-@_-"/>
    <numFmt numFmtId="170" formatCode="_-* #,##0_-;\-* #,##0_-;_-* &quot;-&quot;??_-;_-@_-"/>
    <numFmt numFmtId="171" formatCode="0.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indexed="8"/>
      <name val="Aptos Narrow"/>
      <family val="2"/>
      <scheme val="minor"/>
    </font>
    <font>
      <sz val="9"/>
      <color theme="0"/>
      <name val="Arial"/>
      <family val="2"/>
    </font>
    <font>
      <sz val="9"/>
      <name val="Arial"/>
      <family val="2"/>
    </font>
    <font>
      <sz val="10"/>
      <color rgb="FFF0EA00"/>
      <name val="Arial"/>
      <family val="2"/>
    </font>
    <font>
      <sz val="10"/>
      <name val="Arial"/>
      <family val="2"/>
    </font>
    <font>
      <sz val="10"/>
      <color theme="1"/>
      <name val="Trebuchet M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0" fillId="2" borderId="0" xfId="0" applyFill="1" applyAlignment="1">
      <alignment horizontal="center" vertical="center"/>
    </xf>
    <xf numFmtId="0" fontId="4" fillId="3" borderId="4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4" fillId="5" borderId="12" xfId="1" applyFont="1" applyFill="1" applyBorder="1" applyAlignment="1">
      <alignment horizontal="center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4" fillId="5" borderId="14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0" fontId="4" fillId="3" borderId="17" xfId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 wrapText="1"/>
    </xf>
    <xf numFmtId="0" fontId="4" fillId="3" borderId="11" xfId="1" applyFont="1" applyFill="1" applyBorder="1" applyAlignment="1">
      <alignment horizontal="center" vertical="center" wrapText="1"/>
    </xf>
    <xf numFmtId="0" fontId="5" fillId="4" borderId="18" xfId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" fillId="0" borderId="12" xfId="1" applyFont="1" applyBorder="1" applyAlignment="1" applyProtection="1">
      <alignment horizontal="center" vertical="center"/>
      <protection hidden="1"/>
    </xf>
    <xf numFmtId="0" fontId="1" fillId="0" borderId="19" xfId="1" applyFont="1" applyBorder="1" applyAlignment="1" applyProtection="1">
      <alignment horizontal="center" vertical="center"/>
      <protection hidden="1"/>
    </xf>
    <xf numFmtId="0" fontId="1" fillId="0" borderId="13" xfId="1" applyFont="1" applyBorder="1" applyAlignment="1" applyProtection="1">
      <alignment horizontal="center" vertical="center"/>
      <protection hidden="1"/>
    </xf>
    <xf numFmtId="0" fontId="1" fillId="0" borderId="14" xfId="1" applyFont="1" applyBorder="1" applyAlignment="1" applyProtection="1">
      <alignment horizontal="center" vertical="center"/>
      <protection hidden="1"/>
    </xf>
    <xf numFmtId="0" fontId="1" fillId="0" borderId="1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/>
    </xf>
    <xf numFmtId="166" fontId="0" fillId="6" borderId="16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4" fontId="0" fillId="6" borderId="18" xfId="0" applyNumberFormat="1" applyFill="1" applyBorder="1" applyAlignment="1">
      <alignment horizontal="center" vertical="center"/>
    </xf>
    <xf numFmtId="165" fontId="0" fillId="6" borderId="18" xfId="0" applyNumberFormat="1" applyFill="1" applyBorder="1" applyAlignment="1">
      <alignment horizontal="center" vertical="center"/>
    </xf>
    <xf numFmtId="166" fontId="0" fillId="6" borderId="18" xfId="0" applyNumberFormat="1" applyFill="1" applyBorder="1" applyAlignment="1">
      <alignment horizontal="center" vertical="center"/>
    </xf>
    <xf numFmtId="166" fontId="0" fillId="6" borderId="11" xfId="0" applyNumberFormat="1" applyFill="1" applyBorder="1" applyAlignment="1">
      <alignment horizontal="center" vertical="center"/>
    </xf>
    <xf numFmtId="0" fontId="0" fillId="2" borderId="0" xfId="0" applyFill="1"/>
    <xf numFmtId="0" fontId="4" fillId="7" borderId="1" xfId="1" applyFont="1" applyFill="1" applyBorder="1" applyAlignment="1">
      <alignment horizontal="centerContinuous" vertical="center" wrapText="1"/>
    </xf>
    <xf numFmtId="0" fontId="4" fillId="7" borderId="2" xfId="1" applyFont="1" applyFill="1" applyBorder="1" applyAlignment="1">
      <alignment horizontal="centerContinuous" vertical="center" wrapText="1"/>
    </xf>
    <xf numFmtId="0" fontId="4" fillId="7" borderId="3" xfId="1" applyFont="1" applyFill="1" applyBorder="1" applyAlignment="1">
      <alignment horizontal="centerContinuous" vertical="center" wrapText="1"/>
    </xf>
    <xf numFmtId="0" fontId="4" fillId="7" borderId="4" xfId="1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4" fillId="7" borderId="6" xfId="1" applyFont="1" applyFill="1" applyBorder="1" applyAlignment="1">
      <alignment horizontal="center" vertical="center" wrapText="1"/>
    </xf>
    <xf numFmtId="0" fontId="4" fillId="7" borderId="7" xfId="1" applyFont="1" applyFill="1" applyBorder="1" applyAlignment="1">
      <alignment horizontal="center" vertical="center" wrapText="1"/>
    </xf>
    <xf numFmtId="0" fontId="4" fillId="7" borderId="8" xfId="1" applyFont="1" applyFill="1" applyBorder="1" applyAlignment="1">
      <alignment horizontal="center" vertical="center" wrapText="1"/>
    </xf>
    <xf numFmtId="0" fontId="4" fillId="7" borderId="9" xfId="1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4" fillId="5" borderId="17" xfId="1" applyFont="1" applyFill="1" applyBorder="1" applyAlignment="1">
      <alignment horizontal="center" vertical="center" wrapText="1"/>
    </xf>
    <xf numFmtId="0" fontId="4" fillId="5" borderId="18" xfId="1" applyFont="1" applyFill="1" applyBorder="1" applyAlignment="1">
      <alignment horizontal="center" vertical="center" wrapText="1"/>
    </xf>
    <xf numFmtId="0" fontId="4" fillId="5" borderId="11" xfId="1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4" fillId="7" borderId="18" xfId="1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20" xfId="1" applyFont="1" applyBorder="1" applyAlignment="1" applyProtection="1">
      <alignment horizontal="center" vertical="center"/>
      <protection hidden="1"/>
    </xf>
    <xf numFmtId="167" fontId="0" fillId="0" borderId="1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7" fontId="0" fillId="6" borderId="0" xfId="0" applyNumberFormat="1" applyFill="1" applyAlignment="1">
      <alignment horizontal="center" vertical="center"/>
    </xf>
    <xf numFmtId="165" fontId="0" fillId="6" borderId="16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7" fontId="0" fillId="6" borderId="18" xfId="0" applyNumberFormat="1" applyFill="1" applyBorder="1" applyAlignment="1">
      <alignment horizontal="center" vertical="center"/>
    </xf>
    <xf numFmtId="165" fontId="0" fillId="6" borderId="11" xfId="0" applyNumberForma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68" fontId="0" fillId="6" borderId="0" xfId="3" applyNumberFormat="1" applyFont="1" applyFill="1" applyAlignment="1">
      <alignment horizontal="center" vertical="center"/>
    </xf>
    <xf numFmtId="168" fontId="0" fillId="0" borderId="0" xfId="3" applyNumberFormat="1" applyFont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4" fillId="9" borderId="3" xfId="1" applyFont="1" applyFill="1" applyBorder="1" applyAlignment="1">
      <alignment horizontal="center" vertical="center"/>
    </xf>
    <xf numFmtId="0" fontId="4" fillId="9" borderId="9" xfId="1" applyFont="1" applyFill="1" applyBorder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0" fontId="4" fillId="9" borderId="7" xfId="1" applyFont="1" applyFill="1" applyBorder="1" applyAlignment="1">
      <alignment horizontal="center" vertical="center"/>
    </xf>
    <xf numFmtId="0" fontId="4" fillId="9" borderId="10" xfId="1" applyFont="1" applyFill="1" applyBorder="1" applyAlignment="1">
      <alignment horizontal="center" vertical="center"/>
    </xf>
    <xf numFmtId="169" fontId="0" fillId="0" borderId="22" xfId="0" applyNumberFormat="1" applyBorder="1"/>
    <xf numFmtId="43" fontId="0" fillId="0" borderId="0" xfId="0" applyNumberFormat="1"/>
    <xf numFmtId="2" fontId="0" fillId="0" borderId="0" xfId="0" applyNumberFormat="1"/>
    <xf numFmtId="170" fontId="0" fillId="0" borderId="0" xfId="2" applyNumberFormat="1" applyFont="1"/>
    <xf numFmtId="171" fontId="0" fillId="0" borderId="0" xfId="0" applyNumberFormat="1"/>
    <xf numFmtId="0" fontId="8" fillId="0" borderId="0" xfId="0" applyFont="1" applyAlignment="1">
      <alignment horizontal="justify" vertical="center"/>
    </xf>
    <xf numFmtId="0" fontId="8" fillId="0" borderId="0" xfId="0" applyFont="1"/>
    <xf numFmtId="0" fontId="0" fillId="0" borderId="0" xfId="0" applyAlignment="1">
      <alignment horizontal="center"/>
    </xf>
    <xf numFmtId="0" fontId="5" fillId="4" borderId="4" xfId="1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3" borderId="2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9" borderId="0" xfId="1" applyFont="1" applyFill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6" fillId="8" borderId="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4" fillId="7" borderId="4" xfId="1" applyFont="1" applyFill="1" applyBorder="1" applyAlignment="1">
      <alignment horizontal="center" vertical="center" wrapText="1"/>
    </xf>
    <xf numFmtId="0" fontId="4" fillId="7" borderId="9" xfId="1" applyFont="1" applyFill="1" applyBorder="1" applyAlignment="1">
      <alignment horizontal="center" vertical="center" wrapText="1"/>
    </xf>
    <xf numFmtId="0" fontId="4" fillId="7" borderId="3" xfId="1" applyFont="1" applyFill="1" applyBorder="1" applyAlignment="1">
      <alignment horizontal="center" vertical="center" wrapText="1"/>
    </xf>
    <xf numFmtId="0" fontId="4" fillId="7" borderId="8" xfId="1" applyFont="1" applyFill="1" applyBorder="1" applyAlignment="1">
      <alignment horizontal="center" vertical="center" wrapText="1"/>
    </xf>
  </cellXfs>
  <cellStyles count="4">
    <cellStyle name="Comma" xfId="2" builtinId="3"/>
    <cellStyle name="Normal" xfId="0" builtinId="0"/>
    <cellStyle name="Normal 2" xfId="1" xr:uid="{13F905BC-7E6A-4AC4-B7BF-C81ABBE80DA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 Reinecke-Wilkendorff" id="{87EECC39-6EA3-4A57-9100-7C5F31264954}" userId="S::CHRRW@orsted.dk::c02b718c-6485-449e-afd1-f5d6f942697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1" dT="2022-02-21T09:32:24.92" personId="{87EECC39-6EA3-4A57-9100-7C5F31264954}" id="{603C8458-6DB3-490A-872C-810E4148414D}">
    <text>GO-tool: BIO
Prisbladet: Non-specific EU Biomass</text>
  </threadedComment>
  <threadedComment ref="Y1" dT="2022-02-21T09:34:42.41" personId="{87EECC39-6EA3-4A57-9100-7C5F31264954}" id="{6B3CC94A-69B4-4356-9502-9AF7B16E6B43}">
    <text>GO-tool: RNP
Prisbladet: Any EU Renewables</text>
  </threadedComment>
  <threadedComment ref="Z1" dT="2022-02-21T09:35:59.47" personId="{87EECC39-6EA3-4A57-9100-7C5F31264954}" id="{1FF153F0-A521-4F19-800B-9CD10E25B39C}">
    <text>GO-tool: RNPUB
Prisbladet: Any EU Renewables excl. bioenergy</text>
  </threadedComment>
  <threadedComment ref="AA1" dT="2022-09-12T13:44:55.46" personId="{87EECC39-6EA3-4A57-9100-7C5F31264954}" id="{AD495DA7-FDAF-4295-861D-752504DC171B}">
    <text>GO-tool: DV
Prisbladet: DK Wind</text>
  </threadedComment>
  <threadedComment ref="AB1" dT="2022-02-21T09:36:46.39" personId="{87EECC39-6EA3-4A57-9100-7C5F31264954}" id="{37F741A8-C388-4CD2-9828-1FFB9E7E2123}">
    <text>GO-tool: EUV
Prisbladet: Non-specific EU Wind Assets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D4E2-A75D-4EE8-99CE-A294FB38B986}">
  <dimension ref="A1:AB65"/>
  <sheetViews>
    <sheetView workbookViewId="0">
      <selection activeCell="H18" sqref="H18"/>
    </sheetView>
  </sheetViews>
  <sheetFormatPr defaultRowHeight="12.75" x14ac:dyDescent="0.2"/>
  <cols>
    <col min="1" max="1" width="10.140625" bestFit="1" customWidth="1"/>
    <col min="2" max="28" width="12.5703125" customWidth="1"/>
  </cols>
  <sheetData>
    <row r="1" spans="1:28" x14ac:dyDescent="0.2">
      <c r="A1" s="1"/>
      <c r="B1" s="92" t="s">
        <v>0</v>
      </c>
      <c r="C1" s="93"/>
      <c r="D1" s="94" t="s">
        <v>1</v>
      </c>
      <c r="E1" s="93"/>
      <c r="F1" s="94" t="s">
        <v>2</v>
      </c>
      <c r="G1" s="93"/>
      <c r="H1" s="94" t="s">
        <v>3</v>
      </c>
      <c r="I1" s="93"/>
      <c r="J1" s="94" t="s">
        <v>4</v>
      </c>
      <c r="K1" s="93"/>
      <c r="L1" s="2" t="s">
        <v>5</v>
      </c>
      <c r="M1" s="94" t="s">
        <v>6</v>
      </c>
      <c r="N1" s="93"/>
      <c r="O1" s="94" t="s">
        <v>7</v>
      </c>
      <c r="P1" s="93"/>
      <c r="Q1" s="94" t="s">
        <v>8</v>
      </c>
      <c r="R1" s="93"/>
      <c r="S1" s="94" t="s">
        <v>9</v>
      </c>
      <c r="T1" s="93"/>
      <c r="U1" s="95" t="s">
        <v>10</v>
      </c>
      <c r="V1" s="95" t="s">
        <v>11</v>
      </c>
      <c r="W1" s="90" t="s">
        <v>12</v>
      </c>
      <c r="X1" s="86" t="s">
        <v>13</v>
      </c>
      <c r="Y1" s="86" t="s">
        <v>14</v>
      </c>
      <c r="Z1" s="86" t="s">
        <v>15</v>
      </c>
      <c r="AA1" s="86" t="s">
        <v>16</v>
      </c>
      <c r="AB1" s="88" t="s">
        <v>17</v>
      </c>
    </row>
    <row r="2" spans="1:28" ht="20.25" customHeight="1" x14ac:dyDescent="0.2">
      <c r="A2" s="1"/>
      <c r="B2" s="3" t="s">
        <v>18</v>
      </c>
      <c r="C2" s="4" t="s">
        <v>19</v>
      </c>
      <c r="D2" s="5" t="s">
        <v>18</v>
      </c>
      <c r="E2" s="4" t="s">
        <v>19</v>
      </c>
      <c r="F2" s="5" t="s">
        <v>18</v>
      </c>
      <c r="G2" s="4" t="s">
        <v>19</v>
      </c>
      <c r="H2" s="5" t="s">
        <v>18</v>
      </c>
      <c r="I2" s="4" t="s">
        <v>19</v>
      </c>
      <c r="J2" s="5" t="s">
        <v>18</v>
      </c>
      <c r="K2" s="4" t="s">
        <v>19</v>
      </c>
      <c r="L2" s="6" t="s">
        <v>20</v>
      </c>
      <c r="M2" s="5" t="s">
        <v>21</v>
      </c>
      <c r="N2" s="4" t="s">
        <v>22</v>
      </c>
      <c r="O2" s="5" t="s">
        <v>21</v>
      </c>
      <c r="P2" s="4" t="s">
        <v>22</v>
      </c>
      <c r="Q2" s="5" t="s">
        <v>21</v>
      </c>
      <c r="R2" s="4" t="s">
        <v>22</v>
      </c>
      <c r="S2" s="5" t="s">
        <v>21</v>
      </c>
      <c r="T2" s="4" t="s">
        <v>22</v>
      </c>
      <c r="U2" s="96"/>
      <c r="V2" s="96"/>
      <c r="W2" s="91"/>
      <c r="X2" s="87"/>
      <c r="Y2" s="87"/>
      <c r="Z2" s="87"/>
      <c r="AA2" s="87"/>
      <c r="AB2" s="89"/>
    </row>
    <row r="3" spans="1:28" x14ac:dyDescent="0.2">
      <c r="A3" s="1"/>
      <c r="B3" s="8" t="s">
        <v>23</v>
      </c>
      <c r="C3" s="8" t="s">
        <v>23</v>
      </c>
      <c r="D3" s="8" t="s">
        <v>23</v>
      </c>
      <c r="E3" s="8" t="s">
        <v>23</v>
      </c>
      <c r="F3" s="8" t="s">
        <v>23</v>
      </c>
      <c r="G3" s="8" t="s">
        <v>23</v>
      </c>
      <c r="H3" s="8" t="s">
        <v>23</v>
      </c>
      <c r="I3" s="8" t="s">
        <v>23</v>
      </c>
      <c r="J3" s="8" t="s">
        <v>23</v>
      </c>
      <c r="K3" s="8" t="s">
        <v>23</v>
      </c>
      <c r="L3" s="9" t="s">
        <v>24</v>
      </c>
      <c r="M3" s="8" t="s">
        <v>23</v>
      </c>
      <c r="N3" s="8" t="s">
        <v>23</v>
      </c>
      <c r="O3" s="8" t="s">
        <v>23</v>
      </c>
      <c r="P3" s="8" t="s">
        <v>23</v>
      </c>
      <c r="Q3" s="8" t="s">
        <v>23</v>
      </c>
      <c r="R3" s="8" t="s">
        <v>23</v>
      </c>
      <c r="S3" s="8" t="s">
        <v>23</v>
      </c>
      <c r="T3" s="8" t="s">
        <v>23</v>
      </c>
      <c r="U3" s="8" t="s">
        <v>23</v>
      </c>
      <c r="V3" s="8" t="s">
        <v>23</v>
      </c>
      <c r="W3" s="10" t="s">
        <v>23</v>
      </c>
      <c r="X3" s="10" t="s">
        <v>23</v>
      </c>
      <c r="Y3" s="10" t="s">
        <v>23</v>
      </c>
      <c r="Z3" s="10" t="s">
        <v>23</v>
      </c>
      <c r="AA3" s="10" t="s">
        <v>23</v>
      </c>
      <c r="AB3" s="10" t="s">
        <v>23</v>
      </c>
    </row>
    <row r="4" spans="1:28" ht="15.75" customHeight="1" x14ac:dyDescent="0.2">
      <c r="A4" s="1"/>
      <c r="B4" s="12" t="s">
        <v>18</v>
      </c>
      <c r="C4" s="13" t="s">
        <v>19</v>
      </c>
      <c r="D4" s="13" t="s">
        <v>18</v>
      </c>
      <c r="E4" s="13" t="s">
        <v>19</v>
      </c>
      <c r="F4" s="13" t="s">
        <v>18</v>
      </c>
      <c r="G4" s="13" t="s">
        <v>19</v>
      </c>
      <c r="H4" s="13" t="s">
        <v>18</v>
      </c>
      <c r="I4" s="13" t="s">
        <v>19</v>
      </c>
      <c r="J4" s="13" t="s">
        <v>18</v>
      </c>
      <c r="K4" s="13" t="s">
        <v>19</v>
      </c>
      <c r="L4" s="14" t="s">
        <v>25</v>
      </c>
      <c r="M4" s="14" t="s">
        <v>26</v>
      </c>
      <c r="N4" s="14" t="s">
        <v>26</v>
      </c>
      <c r="O4" s="14" t="s">
        <v>27</v>
      </c>
      <c r="P4" s="14" t="s">
        <v>27</v>
      </c>
      <c r="Q4" s="11" t="s">
        <v>28</v>
      </c>
      <c r="R4" s="11" t="s">
        <v>28</v>
      </c>
      <c r="S4" s="11" t="s">
        <v>29</v>
      </c>
      <c r="T4" s="11" t="s">
        <v>29</v>
      </c>
      <c r="U4" s="14" t="s">
        <v>30</v>
      </c>
      <c r="V4" s="14" t="s">
        <v>31</v>
      </c>
      <c r="W4" s="15" t="s">
        <v>32</v>
      </c>
      <c r="X4" s="16" t="s">
        <v>19</v>
      </c>
      <c r="Y4" s="16" t="s">
        <v>19</v>
      </c>
      <c r="Z4" s="16" t="s">
        <v>19</v>
      </c>
      <c r="AA4" s="16" t="s">
        <v>19</v>
      </c>
      <c r="AB4" s="7" t="s">
        <v>19</v>
      </c>
    </row>
    <row r="5" spans="1:28" x14ac:dyDescent="0.2">
      <c r="A5" s="17" t="s">
        <v>33</v>
      </c>
      <c r="B5" s="18">
        <v>1571091</v>
      </c>
      <c r="C5" s="19">
        <v>1571091</v>
      </c>
      <c r="D5" s="20">
        <v>1571081</v>
      </c>
      <c r="E5" s="20">
        <v>1571081</v>
      </c>
      <c r="F5" s="18">
        <v>1571171</v>
      </c>
      <c r="G5" s="19">
        <v>1571171</v>
      </c>
      <c r="H5" s="20">
        <v>1571161</v>
      </c>
      <c r="I5" s="20">
        <v>1571161</v>
      </c>
      <c r="J5" s="18">
        <v>1571231</v>
      </c>
      <c r="K5" s="19">
        <v>1571231</v>
      </c>
      <c r="L5" s="21">
        <v>1567553</v>
      </c>
      <c r="M5" s="18">
        <v>1573081</v>
      </c>
      <c r="N5" s="19">
        <v>1573091</v>
      </c>
      <c r="O5" s="18">
        <v>1573081</v>
      </c>
      <c r="P5" s="19">
        <v>1573091</v>
      </c>
      <c r="Q5" s="18">
        <v>1573081</v>
      </c>
      <c r="R5" s="19">
        <v>1573091</v>
      </c>
      <c r="S5" s="22">
        <v>1573081</v>
      </c>
      <c r="T5" s="23">
        <v>1573091</v>
      </c>
      <c r="U5" s="21">
        <v>1573071</v>
      </c>
      <c r="V5" s="21">
        <v>1573071</v>
      </c>
      <c r="W5" s="19">
        <v>1573071</v>
      </c>
      <c r="X5" s="19">
        <v>1577301</v>
      </c>
      <c r="Y5" s="19">
        <v>1580241</v>
      </c>
      <c r="Z5" s="19">
        <v>1580251</v>
      </c>
      <c r="AA5" s="19">
        <v>1603671</v>
      </c>
      <c r="AB5" s="19">
        <v>1580701</v>
      </c>
    </row>
    <row r="6" spans="1:28" x14ac:dyDescent="0.2">
      <c r="A6" s="24">
        <v>45292</v>
      </c>
      <c r="B6" s="25">
        <v>120.9</v>
      </c>
      <c r="C6" s="25">
        <v>128.4</v>
      </c>
      <c r="D6" s="25">
        <v>144</v>
      </c>
      <c r="E6" s="25">
        <v>151.5</v>
      </c>
      <c r="F6" s="25">
        <v>-7.1</v>
      </c>
      <c r="G6" s="25">
        <v>-1.1000000000000001</v>
      </c>
      <c r="H6" s="25">
        <v>-4</v>
      </c>
      <c r="I6" s="25">
        <v>2</v>
      </c>
      <c r="J6" s="25">
        <v>91</v>
      </c>
      <c r="K6" s="25">
        <v>92.5</v>
      </c>
      <c r="L6" s="26">
        <v>7.4532460979630004</v>
      </c>
      <c r="M6" s="26">
        <v>3.7427777777777802</v>
      </c>
      <c r="N6" s="26">
        <v>3.74277777777777</v>
      </c>
      <c r="O6" s="26">
        <v>8.3691055357867192</v>
      </c>
      <c r="P6" s="26">
        <v>8.3691055357866997</v>
      </c>
      <c r="Q6" s="26">
        <v>0.34509261744966402</v>
      </c>
      <c r="R6" s="26">
        <v>0.34509261744966402</v>
      </c>
      <c r="S6" s="26">
        <v>0.40255018241402601</v>
      </c>
      <c r="T6" s="26">
        <v>0.36229516417262397</v>
      </c>
      <c r="U6" s="26">
        <v>6.0000000000000001E-3</v>
      </c>
      <c r="V6" s="26">
        <v>0.04</v>
      </c>
      <c r="W6" s="26">
        <v>4.0000000000000001E-3</v>
      </c>
      <c r="X6" s="26">
        <v>4.8499999999999996</v>
      </c>
      <c r="Y6" s="26">
        <v>4.8499999999999996</v>
      </c>
      <c r="Z6" s="26">
        <v>4.9000000000000004</v>
      </c>
      <c r="AA6" s="26">
        <v>5.7</v>
      </c>
      <c r="AB6" s="27">
        <v>4.95</v>
      </c>
    </row>
    <row r="7" spans="1:28" x14ac:dyDescent="0.2">
      <c r="A7" s="28">
        <v>45323</v>
      </c>
      <c r="B7" s="29">
        <v>125.5</v>
      </c>
      <c r="C7" s="29">
        <v>132.75</v>
      </c>
      <c r="D7" s="29">
        <v>119</v>
      </c>
      <c r="E7" s="29">
        <v>126.25</v>
      </c>
      <c r="F7" s="29">
        <v>-1.5</v>
      </c>
      <c r="G7" s="29">
        <v>4.5</v>
      </c>
      <c r="H7" s="29">
        <v>-8</v>
      </c>
      <c r="I7" s="29">
        <v>-2</v>
      </c>
      <c r="J7" s="29">
        <v>87</v>
      </c>
      <c r="K7" s="29">
        <v>88.25</v>
      </c>
      <c r="L7" s="30">
        <v>7.4507949723970004</v>
      </c>
      <c r="M7" s="30">
        <v>3.7427777777777802</v>
      </c>
      <c r="N7" s="30">
        <v>3.74277777777777</v>
      </c>
      <c r="O7" s="30">
        <v>8.3691055357867192</v>
      </c>
      <c r="P7" s="30">
        <v>8.3691055357866997</v>
      </c>
      <c r="Q7" s="30">
        <v>0.34608334340306302</v>
      </c>
      <c r="R7" s="30">
        <v>0.34608334340306302</v>
      </c>
      <c r="S7" s="30">
        <v>0.4026800682807532</v>
      </c>
      <c r="T7" s="30">
        <v>0.3624120614526779</v>
      </c>
      <c r="U7" s="30">
        <v>6.0000000000000001E-3</v>
      </c>
      <c r="V7" s="30">
        <v>0.04</v>
      </c>
      <c r="W7" s="30">
        <v>4.0000000000000001E-3</v>
      </c>
      <c r="X7" s="30">
        <v>4.8499999999999996</v>
      </c>
      <c r="Y7" s="30">
        <v>4.8499999999999996</v>
      </c>
      <c r="Z7" s="30">
        <v>4.9000000000000004</v>
      </c>
      <c r="AA7" s="30">
        <v>5.7</v>
      </c>
      <c r="AB7" s="31">
        <v>4.95</v>
      </c>
    </row>
    <row r="8" spans="1:28" x14ac:dyDescent="0.2">
      <c r="A8" s="32">
        <v>45352</v>
      </c>
      <c r="B8" s="33">
        <v>105.1</v>
      </c>
      <c r="C8" s="33">
        <v>113.6</v>
      </c>
      <c r="D8" s="33">
        <v>99.6</v>
      </c>
      <c r="E8" s="33">
        <v>108.1</v>
      </c>
      <c r="F8" s="33">
        <v>0.1</v>
      </c>
      <c r="G8" s="33">
        <v>6.1</v>
      </c>
      <c r="H8" s="33">
        <v>-5.4</v>
      </c>
      <c r="I8" s="33">
        <v>0.6</v>
      </c>
      <c r="J8" s="33">
        <v>74</v>
      </c>
      <c r="K8" s="33">
        <v>76.5</v>
      </c>
      <c r="L8" s="34">
        <v>7.4485195926580001</v>
      </c>
      <c r="M8" s="34">
        <v>3.7427777777777802</v>
      </c>
      <c r="N8" s="34">
        <v>3.74277777777777</v>
      </c>
      <c r="O8" s="34">
        <v>8.3691055357867192</v>
      </c>
      <c r="P8" s="34">
        <v>8.3691055357866997</v>
      </c>
      <c r="Q8" s="34">
        <v>0.34707691363033299</v>
      </c>
      <c r="R8" s="34">
        <v>0.34707691363033299</v>
      </c>
      <c r="S8" s="34">
        <v>0.40280618152157804</v>
      </c>
      <c r="T8" s="34">
        <v>0.36252556336942027</v>
      </c>
      <c r="U8" s="34">
        <v>6.0000000000000001E-3</v>
      </c>
      <c r="V8" s="34">
        <v>0.04</v>
      </c>
      <c r="W8" s="34">
        <v>4.0000000000000001E-3</v>
      </c>
      <c r="X8" s="34">
        <v>4.8499999999999996</v>
      </c>
      <c r="Y8" s="34">
        <v>4.8499999999999996</v>
      </c>
      <c r="Z8" s="34">
        <v>4.9000000000000004</v>
      </c>
      <c r="AA8" s="34">
        <v>5.7</v>
      </c>
      <c r="AB8" s="35">
        <v>4.95</v>
      </c>
    </row>
    <row r="9" spans="1:28" x14ac:dyDescent="0.2">
      <c r="A9" s="28">
        <v>45383</v>
      </c>
      <c r="B9" s="29">
        <v>80.2</v>
      </c>
      <c r="C9" s="29">
        <v>90.2</v>
      </c>
      <c r="D9" s="29">
        <v>73</v>
      </c>
      <c r="E9" s="29">
        <v>83</v>
      </c>
      <c r="F9" s="29">
        <v>3.2</v>
      </c>
      <c r="G9" s="29">
        <v>9.1999999999999993</v>
      </c>
      <c r="H9" s="29">
        <v>-4</v>
      </c>
      <c r="I9" s="29">
        <v>2</v>
      </c>
      <c r="J9" s="29">
        <v>69</v>
      </c>
      <c r="K9" s="29">
        <v>73</v>
      </c>
      <c r="L9" s="30">
        <v>7.4460680334370002</v>
      </c>
      <c r="M9" s="30">
        <v>3.55155555555555</v>
      </c>
      <c r="N9" s="30">
        <v>3.74277777777777</v>
      </c>
      <c r="O9" s="30">
        <v>7.94151964808926</v>
      </c>
      <c r="P9" s="30">
        <v>8.3691055357866997</v>
      </c>
      <c r="Q9" s="30">
        <v>0.34807333629709503</v>
      </c>
      <c r="R9" s="30">
        <v>0.34807333629709503</v>
      </c>
      <c r="S9" s="30">
        <v>0.40293286334037554</v>
      </c>
      <c r="T9" s="30">
        <v>0.36263957700633798</v>
      </c>
      <c r="U9" s="30">
        <v>6.0000000000000001E-3</v>
      </c>
      <c r="V9" s="30">
        <v>0.04</v>
      </c>
      <c r="W9" s="30">
        <v>4.0000000000000001E-3</v>
      </c>
      <c r="X9" s="30">
        <v>4.8499999999999996</v>
      </c>
      <c r="Y9" s="30">
        <v>4.8499999999999996</v>
      </c>
      <c r="Z9" s="30">
        <v>4.9000000000000004</v>
      </c>
      <c r="AA9" s="30">
        <v>5.7</v>
      </c>
      <c r="AB9" s="31">
        <v>4.95</v>
      </c>
    </row>
    <row r="10" spans="1:28" x14ac:dyDescent="0.2">
      <c r="A10" s="32">
        <v>45413</v>
      </c>
      <c r="B10" s="33">
        <v>73.7</v>
      </c>
      <c r="C10" s="33">
        <v>82.45</v>
      </c>
      <c r="D10" s="33">
        <v>67.7</v>
      </c>
      <c r="E10" s="33">
        <v>76.45</v>
      </c>
      <c r="F10" s="33">
        <v>17.7</v>
      </c>
      <c r="G10" s="33">
        <v>23.7</v>
      </c>
      <c r="H10" s="33">
        <v>11.7</v>
      </c>
      <c r="I10" s="33">
        <v>17.7</v>
      </c>
      <c r="J10" s="33">
        <v>50</v>
      </c>
      <c r="K10" s="33">
        <v>52.75</v>
      </c>
      <c r="L10" s="34">
        <v>7.4436612784619998</v>
      </c>
      <c r="M10" s="34">
        <v>3.55155555555555</v>
      </c>
      <c r="N10" s="34">
        <v>3.74277777777777</v>
      </c>
      <c r="O10" s="34">
        <v>7.94151964808926</v>
      </c>
      <c r="P10" s="34">
        <v>8.3691055357866997</v>
      </c>
      <c r="Q10" s="34">
        <v>0.34907261959241598</v>
      </c>
      <c r="R10" s="34">
        <v>0.34907261959241598</v>
      </c>
      <c r="S10" s="34">
        <v>0.40306311602635198</v>
      </c>
      <c r="T10" s="34">
        <v>0.36275680442371683</v>
      </c>
      <c r="U10" s="34">
        <v>6.0000000000000001E-3</v>
      </c>
      <c r="V10" s="34">
        <v>0.04</v>
      </c>
      <c r="W10" s="34">
        <v>4.0000000000000001E-3</v>
      </c>
      <c r="X10" s="34">
        <v>4.8499999999999996</v>
      </c>
      <c r="Y10" s="34">
        <v>4.8499999999999996</v>
      </c>
      <c r="Z10" s="34">
        <v>4.9000000000000004</v>
      </c>
      <c r="AA10" s="34">
        <v>5.7</v>
      </c>
      <c r="AB10" s="35">
        <v>4.95</v>
      </c>
    </row>
    <row r="11" spans="1:28" x14ac:dyDescent="0.2">
      <c r="A11" s="28">
        <v>45444</v>
      </c>
      <c r="B11" s="29">
        <v>63.6</v>
      </c>
      <c r="C11" s="29">
        <v>79.599999999999994</v>
      </c>
      <c r="D11" s="29">
        <v>62.55</v>
      </c>
      <c r="E11" s="29">
        <v>78.55</v>
      </c>
      <c r="F11" s="29">
        <v>40.6</v>
      </c>
      <c r="G11" s="29">
        <v>46.6</v>
      </c>
      <c r="H11" s="29">
        <v>39.549999999999997</v>
      </c>
      <c r="I11" s="29">
        <v>45.55</v>
      </c>
      <c r="J11" s="29">
        <v>34</v>
      </c>
      <c r="K11" s="29">
        <v>44</v>
      </c>
      <c r="L11" s="30">
        <v>7.4412545234870002</v>
      </c>
      <c r="M11" s="30">
        <v>3.55155555555555</v>
      </c>
      <c r="N11" s="30">
        <v>3.74277777777777</v>
      </c>
      <c r="O11" s="30">
        <v>7.94151964808926</v>
      </c>
      <c r="P11" s="30">
        <v>8.3691055357866997</v>
      </c>
      <c r="Q11" s="30">
        <v>0.35007477172886797</v>
      </c>
      <c r="R11" s="30">
        <v>0.35007477172886797</v>
      </c>
      <c r="S11" s="30">
        <v>0.4031934529509737</v>
      </c>
      <c r="T11" s="30">
        <v>0.36287410765587635</v>
      </c>
      <c r="U11" s="30">
        <v>6.0000000000000001E-3</v>
      </c>
      <c r="V11" s="30">
        <v>0.04</v>
      </c>
      <c r="W11" s="30">
        <v>4.0000000000000001E-3</v>
      </c>
      <c r="X11" s="30">
        <v>4.8499999999999996</v>
      </c>
      <c r="Y11" s="30">
        <v>4.8499999999999996</v>
      </c>
      <c r="Z11" s="30">
        <v>4.9000000000000004</v>
      </c>
      <c r="AA11" s="30">
        <v>5.7</v>
      </c>
      <c r="AB11" s="31">
        <v>4.95</v>
      </c>
    </row>
    <row r="12" spans="1:28" x14ac:dyDescent="0.2">
      <c r="A12" s="32">
        <v>45474</v>
      </c>
      <c r="B12" s="33">
        <v>85.44</v>
      </c>
      <c r="C12" s="33">
        <v>91.86</v>
      </c>
      <c r="D12" s="33">
        <v>75.48</v>
      </c>
      <c r="E12" s="33">
        <v>81.900000000000006</v>
      </c>
      <c r="F12" s="33">
        <v>51.57</v>
      </c>
      <c r="G12" s="33">
        <v>57.57</v>
      </c>
      <c r="H12" s="33">
        <v>42.14</v>
      </c>
      <c r="I12" s="33">
        <v>48.14</v>
      </c>
      <c r="J12" s="33">
        <v>32.299999999999997</v>
      </c>
      <c r="K12" s="33">
        <v>32.72</v>
      </c>
      <c r="L12" s="34">
        <v>7.4389636677770001</v>
      </c>
      <c r="M12" s="34">
        <v>3.55155555555555</v>
      </c>
      <c r="N12" s="34">
        <v>3.74277777777777</v>
      </c>
      <c r="O12" s="34">
        <v>7.94151964808926</v>
      </c>
      <c r="P12" s="34">
        <v>8.3691055357866997</v>
      </c>
      <c r="Q12" s="34">
        <v>0.35107980094260499</v>
      </c>
      <c r="R12" s="34">
        <v>0.35107980094260499</v>
      </c>
      <c r="S12" s="34">
        <v>0.40331413629014257</v>
      </c>
      <c r="T12" s="34">
        <v>0.3629827226611283</v>
      </c>
      <c r="U12" s="34">
        <v>6.0000000000000001E-3</v>
      </c>
      <c r="V12" s="34">
        <v>0.04</v>
      </c>
      <c r="W12" s="34">
        <v>4.0000000000000001E-3</v>
      </c>
      <c r="X12" s="34">
        <v>4.8499999999999996</v>
      </c>
      <c r="Y12" s="34">
        <v>4.8499999999999996</v>
      </c>
      <c r="Z12" s="34">
        <v>4.9000000000000004</v>
      </c>
      <c r="AA12" s="34">
        <v>5.7</v>
      </c>
      <c r="AB12" s="35">
        <v>4.95</v>
      </c>
    </row>
    <row r="13" spans="1:28" x14ac:dyDescent="0.2">
      <c r="A13" s="28">
        <v>45505</v>
      </c>
      <c r="B13" s="29">
        <v>94.13</v>
      </c>
      <c r="C13" s="29">
        <v>100.63</v>
      </c>
      <c r="D13" s="29">
        <v>86.14</v>
      </c>
      <c r="E13" s="29">
        <v>92.64</v>
      </c>
      <c r="F13" s="29">
        <v>52.86</v>
      </c>
      <c r="G13" s="29">
        <v>58.86</v>
      </c>
      <c r="H13" s="29">
        <v>44.51</v>
      </c>
      <c r="I13" s="29">
        <v>50.51</v>
      </c>
      <c r="J13" s="29">
        <v>37.619999999999997</v>
      </c>
      <c r="K13" s="29">
        <v>38.119999999999997</v>
      </c>
      <c r="L13" s="30">
        <v>7.4367569829500004</v>
      </c>
      <c r="M13" s="30">
        <v>3.55155555555555</v>
      </c>
      <c r="N13" s="30">
        <v>3.74277777777777</v>
      </c>
      <c r="O13" s="30">
        <v>7.94151964808926</v>
      </c>
      <c r="P13" s="30">
        <v>8.3691055357866997</v>
      </c>
      <c r="Q13" s="30">
        <v>0.35208771549342499</v>
      </c>
      <c r="R13" s="30">
        <v>0.35208771549342499</v>
      </c>
      <c r="S13" s="30">
        <v>0.40342663891828695</v>
      </c>
      <c r="T13" s="30">
        <v>0.36308397502645823</v>
      </c>
      <c r="U13" s="30">
        <v>6.0000000000000001E-3</v>
      </c>
      <c r="V13" s="30">
        <v>0.04</v>
      </c>
      <c r="W13" s="30">
        <v>4.0000000000000001E-3</v>
      </c>
      <c r="X13" s="30">
        <v>4.8499999999999996</v>
      </c>
      <c r="Y13" s="30">
        <v>4.8499999999999996</v>
      </c>
      <c r="Z13" s="30">
        <v>4.9000000000000004</v>
      </c>
      <c r="AA13" s="30">
        <v>5.7</v>
      </c>
      <c r="AB13" s="31">
        <v>4.95</v>
      </c>
    </row>
    <row r="14" spans="1:28" x14ac:dyDescent="0.2">
      <c r="A14" s="32">
        <v>45536</v>
      </c>
      <c r="B14" s="33">
        <v>100.2</v>
      </c>
      <c r="C14" s="33">
        <v>106.78</v>
      </c>
      <c r="D14" s="33">
        <v>91.92</v>
      </c>
      <c r="E14" s="33">
        <v>98.5</v>
      </c>
      <c r="F14" s="33">
        <v>52.31</v>
      </c>
      <c r="G14" s="33">
        <v>58.31</v>
      </c>
      <c r="H14" s="33">
        <v>43.86</v>
      </c>
      <c r="I14" s="33">
        <v>49.86</v>
      </c>
      <c r="J14" s="33">
        <v>44.11</v>
      </c>
      <c r="K14" s="33">
        <v>44.69</v>
      </c>
      <c r="L14" s="34">
        <v>7.4345858898139996</v>
      </c>
      <c r="M14" s="34">
        <v>3.55155555555555</v>
      </c>
      <c r="N14" s="34">
        <v>3.74277777777777</v>
      </c>
      <c r="O14" s="34">
        <v>7.94151964808926</v>
      </c>
      <c r="P14" s="34">
        <v>8.3691055357866997</v>
      </c>
      <c r="Q14" s="34">
        <v>0.35309852366483802</v>
      </c>
      <c r="R14" s="34">
        <v>0.35309852366483802</v>
      </c>
      <c r="S14" s="34">
        <v>0.40353738825858104</v>
      </c>
      <c r="T14" s="34">
        <v>0.36318364943272285</v>
      </c>
      <c r="U14" s="34">
        <v>6.0000000000000001E-3</v>
      </c>
      <c r="V14" s="34">
        <v>0.04</v>
      </c>
      <c r="W14" s="34">
        <v>4.0000000000000001E-3</v>
      </c>
      <c r="X14" s="34">
        <v>4.8499999999999996</v>
      </c>
      <c r="Y14" s="34">
        <v>4.8499999999999996</v>
      </c>
      <c r="Z14" s="34">
        <v>4.9000000000000004</v>
      </c>
      <c r="AA14" s="34">
        <v>5.7</v>
      </c>
      <c r="AB14" s="35">
        <v>4.95</v>
      </c>
    </row>
    <row r="15" spans="1:28" x14ac:dyDescent="0.2">
      <c r="A15" s="28">
        <v>45566</v>
      </c>
      <c r="B15" s="29">
        <v>131.15</v>
      </c>
      <c r="C15" s="29">
        <v>134.49</v>
      </c>
      <c r="D15" s="29">
        <v>126.8</v>
      </c>
      <c r="E15" s="29">
        <v>129.88999999999999</v>
      </c>
      <c r="F15" s="29">
        <v>35.5</v>
      </c>
      <c r="G15" s="29">
        <v>37</v>
      </c>
      <c r="H15" s="29">
        <v>31.63</v>
      </c>
      <c r="I15" s="29">
        <v>32.880000000000003</v>
      </c>
      <c r="J15" s="29">
        <v>49.23</v>
      </c>
      <c r="K15" s="29">
        <v>51.07</v>
      </c>
      <c r="L15" s="30">
        <v>7.4324789893069996</v>
      </c>
      <c r="M15" s="30">
        <v>3.55155555555555</v>
      </c>
      <c r="N15" s="30">
        <v>3.5274444444444399</v>
      </c>
      <c r="O15" s="30">
        <v>7.94151964808926</v>
      </c>
      <c r="P15" s="30">
        <v>7.8876055646317598</v>
      </c>
      <c r="Q15" s="30">
        <v>0.35411223376413498</v>
      </c>
      <c r="R15" s="30">
        <v>0.35411223376413498</v>
      </c>
      <c r="S15" s="30">
        <v>0.40364947613223801</v>
      </c>
      <c r="T15" s="30">
        <v>0.36328452851901416</v>
      </c>
      <c r="U15" s="30">
        <v>6.0000000000000001E-3</v>
      </c>
      <c r="V15" s="30">
        <v>0.04</v>
      </c>
      <c r="W15" s="30">
        <v>4.0000000000000001E-3</v>
      </c>
      <c r="X15" s="30">
        <v>4.8499999999999996</v>
      </c>
      <c r="Y15" s="30">
        <v>4.8499999999999996</v>
      </c>
      <c r="Z15" s="30">
        <v>4.9000000000000004</v>
      </c>
      <c r="AA15" s="30">
        <v>5.7</v>
      </c>
      <c r="AB15" s="31">
        <v>4.95</v>
      </c>
    </row>
    <row r="16" spans="1:28" x14ac:dyDescent="0.2">
      <c r="A16" s="32">
        <v>45597</v>
      </c>
      <c r="B16" s="33">
        <v>135.93</v>
      </c>
      <c r="C16" s="33">
        <v>139.46</v>
      </c>
      <c r="D16" s="33">
        <v>132.68</v>
      </c>
      <c r="E16" s="33">
        <v>135.96</v>
      </c>
      <c r="F16" s="33">
        <v>34.729999999999997</v>
      </c>
      <c r="G16" s="33">
        <v>36.229999999999997</v>
      </c>
      <c r="H16" s="33">
        <v>31.4</v>
      </c>
      <c r="I16" s="33">
        <v>32.65</v>
      </c>
      <c r="J16" s="33">
        <v>54.43</v>
      </c>
      <c r="K16" s="33">
        <v>56.46</v>
      </c>
      <c r="L16" s="34">
        <v>7.4304397178570003</v>
      </c>
      <c r="M16" s="34">
        <v>3.55155555555555</v>
      </c>
      <c r="N16" s="34">
        <v>3.5274444444444399</v>
      </c>
      <c r="O16" s="34">
        <v>7.94151964808926</v>
      </c>
      <c r="P16" s="34">
        <v>7.8876055646317598</v>
      </c>
      <c r="Q16" s="34">
        <v>0.35512885412245798</v>
      </c>
      <c r="R16" s="34">
        <v>0.35512885412245798</v>
      </c>
      <c r="S16" s="34">
        <v>0.4037628752089234</v>
      </c>
      <c r="T16" s="34">
        <v>0.36338658768803106</v>
      </c>
      <c r="U16" s="34">
        <v>6.0000000000000001E-3</v>
      </c>
      <c r="V16" s="34">
        <v>0.04</v>
      </c>
      <c r="W16" s="34">
        <v>4.0000000000000001E-3</v>
      </c>
      <c r="X16" s="34">
        <v>4.8499999999999996</v>
      </c>
      <c r="Y16" s="34">
        <v>4.8499999999999996</v>
      </c>
      <c r="Z16" s="34">
        <v>4.9000000000000004</v>
      </c>
      <c r="AA16" s="34">
        <v>5.7</v>
      </c>
      <c r="AB16" s="35">
        <v>4.95</v>
      </c>
    </row>
    <row r="17" spans="1:28" x14ac:dyDescent="0.2">
      <c r="A17" s="28">
        <v>45627</v>
      </c>
      <c r="B17" s="29">
        <v>137.27000000000001</v>
      </c>
      <c r="C17" s="29">
        <v>140.9</v>
      </c>
      <c r="D17" s="29">
        <v>134.37</v>
      </c>
      <c r="E17" s="29">
        <v>137.75</v>
      </c>
      <c r="F17" s="29">
        <v>32.520000000000003</v>
      </c>
      <c r="G17" s="29">
        <v>34.020000000000003</v>
      </c>
      <c r="H17" s="29">
        <v>29.22</v>
      </c>
      <c r="I17" s="29">
        <v>30.47</v>
      </c>
      <c r="J17" s="29">
        <v>56.94</v>
      </c>
      <c r="K17" s="29">
        <v>59.07</v>
      </c>
      <c r="L17" s="30">
        <v>7.4284018850809996</v>
      </c>
      <c r="M17" s="30">
        <v>3.55155555555555</v>
      </c>
      <c r="N17" s="30">
        <v>3.5274444444444399</v>
      </c>
      <c r="O17" s="30">
        <v>7.94151964808926</v>
      </c>
      <c r="P17" s="30">
        <v>7.8876055646317598</v>
      </c>
      <c r="Q17" s="30">
        <v>0.35614839309486501</v>
      </c>
      <c r="R17" s="30">
        <v>0.35614839309486501</v>
      </c>
      <c r="S17" s="30">
        <v>0.40387625795027327</v>
      </c>
      <c r="T17" s="30">
        <v>0.36348863215524596</v>
      </c>
      <c r="U17" s="30">
        <v>6.0000000000000001E-3</v>
      </c>
      <c r="V17" s="30">
        <v>0.04</v>
      </c>
      <c r="W17" s="30">
        <v>4.0000000000000001E-3</v>
      </c>
      <c r="X17" s="30">
        <v>4.8499999999999996</v>
      </c>
      <c r="Y17" s="30">
        <v>4.8499999999999996</v>
      </c>
      <c r="Z17" s="30">
        <v>4.9000000000000004</v>
      </c>
      <c r="AA17" s="30">
        <v>5.7</v>
      </c>
      <c r="AB17" s="31">
        <v>4.95</v>
      </c>
    </row>
    <row r="18" spans="1:28" x14ac:dyDescent="0.2">
      <c r="A18" s="32">
        <v>45658</v>
      </c>
      <c r="B18" s="33">
        <v>98.29</v>
      </c>
      <c r="C18" s="33">
        <v>100.47</v>
      </c>
      <c r="D18" s="33">
        <v>96.3</v>
      </c>
      <c r="E18" s="33">
        <v>98.48</v>
      </c>
      <c r="F18" s="33">
        <v>-7.5</v>
      </c>
      <c r="G18" s="33">
        <v>-6</v>
      </c>
      <c r="H18" s="33">
        <v>-10.4</v>
      </c>
      <c r="I18" s="33">
        <v>-8.9</v>
      </c>
      <c r="J18" s="33">
        <v>72.12</v>
      </c>
      <c r="K18" s="33">
        <v>72.8</v>
      </c>
      <c r="L18" s="34">
        <v>7.426741431031</v>
      </c>
      <c r="M18" s="34">
        <v>4.0149305555555603</v>
      </c>
      <c r="N18" s="34">
        <v>3.5274444444444399</v>
      </c>
      <c r="O18" s="34">
        <v>8.9776576471632108</v>
      </c>
      <c r="P18" s="34">
        <v>7.8876055646317598</v>
      </c>
      <c r="Q18" s="34">
        <v>0.35717085906040302</v>
      </c>
      <c r="R18" s="34">
        <v>0.35717085906040302</v>
      </c>
      <c r="S18" s="34">
        <v>0.40393463448768913</v>
      </c>
      <c r="T18" s="34">
        <v>0.36354117103892025</v>
      </c>
      <c r="U18" s="34">
        <v>6.0000000000000001E-3</v>
      </c>
      <c r="V18" s="34">
        <v>0.04</v>
      </c>
      <c r="W18" s="34">
        <v>4.0000000000000001E-3</v>
      </c>
      <c r="X18" s="34">
        <v>5</v>
      </c>
      <c r="Y18" s="34">
        <v>5</v>
      </c>
      <c r="Z18" s="34">
        <v>5.05</v>
      </c>
      <c r="AA18" s="34">
        <v>5.85</v>
      </c>
      <c r="AB18" s="35">
        <v>5.0999999999999996</v>
      </c>
    </row>
    <row r="19" spans="1:28" x14ac:dyDescent="0.2">
      <c r="A19" s="28">
        <v>45689</v>
      </c>
      <c r="B19" s="29">
        <v>99.46</v>
      </c>
      <c r="C19" s="29">
        <v>101.64</v>
      </c>
      <c r="D19" s="29">
        <v>96.3</v>
      </c>
      <c r="E19" s="29">
        <v>98.48</v>
      </c>
      <c r="F19" s="29">
        <v>-6.34</v>
      </c>
      <c r="G19" s="29">
        <v>-4.84</v>
      </c>
      <c r="H19" s="29">
        <v>-9.34</v>
      </c>
      <c r="I19" s="29">
        <v>-7.84</v>
      </c>
      <c r="J19" s="29">
        <v>72.55</v>
      </c>
      <c r="K19" s="29">
        <v>73.23</v>
      </c>
      <c r="L19" s="30">
        <v>7.4255782912260004</v>
      </c>
      <c r="M19" s="30">
        <v>4.0149305555555603</v>
      </c>
      <c r="N19" s="30">
        <v>3.5274444444444399</v>
      </c>
      <c r="O19" s="30">
        <v>8.9776576471632108</v>
      </c>
      <c r="P19" s="30">
        <v>7.8876055646317598</v>
      </c>
      <c r="Q19" s="30">
        <v>0.35819626042217101</v>
      </c>
      <c r="R19" s="30">
        <v>0.35819626042217101</v>
      </c>
      <c r="S19" s="30">
        <v>0.40393241531539043</v>
      </c>
      <c r="T19" s="30">
        <v>0.36353917378385137</v>
      </c>
      <c r="U19" s="30">
        <v>6.0000000000000001E-3</v>
      </c>
      <c r="V19" s="30">
        <v>0.04</v>
      </c>
      <c r="W19" s="30">
        <v>4.0000000000000001E-3</v>
      </c>
      <c r="X19" s="30">
        <v>5</v>
      </c>
      <c r="Y19" s="30">
        <v>5</v>
      </c>
      <c r="Z19" s="30">
        <v>5.05</v>
      </c>
      <c r="AA19" s="30">
        <v>5.85</v>
      </c>
      <c r="AB19" s="31">
        <v>5.0999999999999996</v>
      </c>
    </row>
    <row r="20" spans="1:28" x14ac:dyDescent="0.2">
      <c r="A20" s="32">
        <v>45717</v>
      </c>
      <c r="B20" s="33">
        <v>89.27</v>
      </c>
      <c r="C20" s="33">
        <v>91.36</v>
      </c>
      <c r="D20" s="33">
        <v>84.67</v>
      </c>
      <c r="E20" s="33">
        <v>86.76</v>
      </c>
      <c r="F20" s="33">
        <v>-6.27</v>
      </c>
      <c r="G20" s="33">
        <v>-4.7699999999999996</v>
      </c>
      <c r="H20" s="33">
        <v>-10.119999999999999</v>
      </c>
      <c r="I20" s="33">
        <v>-8.6199999999999992</v>
      </c>
      <c r="J20" s="33">
        <v>63.46</v>
      </c>
      <c r="K20" s="33">
        <v>64.05</v>
      </c>
      <c r="L20" s="34">
        <v>7.4244159474210001</v>
      </c>
      <c r="M20" s="34">
        <v>4.0149305555555603</v>
      </c>
      <c r="N20" s="34">
        <v>3.5274444444444399</v>
      </c>
      <c r="O20" s="34">
        <v>8.9776576471632108</v>
      </c>
      <c r="P20" s="34">
        <v>7.8876055646317598</v>
      </c>
      <c r="Q20" s="34">
        <v>0.359224605607395</v>
      </c>
      <c r="R20" s="34">
        <v>0.359224605607395</v>
      </c>
      <c r="S20" s="34">
        <v>0.40393019768616489</v>
      </c>
      <c r="T20" s="34">
        <v>0.36353717791754842</v>
      </c>
      <c r="U20" s="34">
        <v>6.0000000000000001E-3</v>
      </c>
      <c r="V20" s="34">
        <v>0.04</v>
      </c>
      <c r="W20" s="34">
        <v>4.0000000000000001E-3</v>
      </c>
      <c r="X20" s="34">
        <v>5</v>
      </c>
      <c r="Y20" s="34">
        <v>5</v>
      </c>
      <c r="Z20" s="34">
        <v>5.05</v>
      </c>
      <c r="AA20" s="34">
        <v>5.85</v>
      </c>
      <c r="AB20" s="35">
        <v>5.0999999999999996</v>
      </c>
    </row>
    <row r="21" spans="1:28" x14ac:dyDescent="0.2">
      <c r="A21" s="28">
        <v>45748</v>
      </c>
      <c r="B21" s="29">
        <v>104.35</v>
      </c>
      <c r="C21" s="29">
        <v>110.57</v>
      </c>
      <c r="D21" s="29">
        <v>100.52</v>
      </c>
      <c r="E21" s="29">
        <v>106.74</v>
      </c>
      <c r="F21" s="29">
        <v>54.41</v>
      </c>
      <c r="G21" s="29">
        <v>55.91</v>
      </c>
      <c r="H21" s="29">
        <v>51.06</v>
      </c>
      <c r="I21" s="29">
        <v>52.56</v>
      </c>
      <c r="J21" s="29">
        <v>38.75</v>
      </c>
      <c r="K21" s="29">
        <v>43.47</v>
      </c>
      <c r="L21" s="30">
        <v>7.4232142260030001</v>
      </c>
      <c r="M21" s="30">
        <v>4.0149305555555603</v>
      </c>
      <c r="N21" s="30">
        <v>3.5274444444444399</v>
      </c>
      <c r="O21" s="30">
        <v>8.9776576471632108</v>
      </c>
      <c r="P21" s="30">
        <v>7.8876055646317598</v>
      </c>
      <c r="Q21" s="30">
        <v>0.360255903067494</v>
      </c>
      <c r="R21" s="30">
        <v>0.360255903067494</v>
      </c>
      <c r="S21" s="30">
        <v>0.40392790495420045</v>
      </c>
      <c r="T21" s="30">
        <v>0.3635351144587804</v>
      </c>
      <c r="U21" s="30">
        <v>6.0000000000000001E-3</v>
      </c>
      <c r="V21" s="30">
        <v>0.04</v>
      </c>
      <c r="W21" s="30">
        <v>4.0000000000000001E-3</v>
      </c>
      <c r="X21" s="30">
        <v>5</v>
      </c>
      <c r="Y21" s="30">
        <v>5</v>
      </c>
      <c r="Z21" s="30">
        <v>5.05</v>
      </c>
      <c r="AA21" s="30">
        <v>5.85</v>
      </c>
      <c r="AB21" s="31">
        <v>5.0999999999999996</v>
      </c>
    </row>
    <row r="22" spans="1:28" x14ac:dyDescent="0.2">
      <c r="A22" s="32">
        <v>45778</v>
      </c>
      <c r="B22" s="33">
        <v>103.72</v>
      </c>
      <c r="C22" s="33">
        <v>109.53</v>
      </c>
      <c r="D22" s="33">
        <v>100.58</v>
      </c>
      <c r="E22" s="33">
        <v>106.39</v>
      </c>
      <c r="F22" s="33">
        <v>55.56</v>
      </c>
      <c r="G22" s="33">
        <v>57.06</v>
      </c>
      <c r="H22" s="33">
        <v>52.37</v>
      </c>
      <c r="I22" s="33">
        <v>53.87</v>
      </c>
      <c r="J22" s="33">
        <v>35.35</v>
      </c>
      <c r="K22" s="33">
        <v>39.659999999999997</v>
      </c>
      <c r="L22" s="34">
        <v>7.4220116577299997</v>
      </c>
      <c r="M22" s="34">
        <v>4.0149305555555603</v>
      </c>
      <c r="N22" s="34">
        <v>3.5274444444444399</v>
      </c>
      <c r="O22" s="34">
        <v>8.9776576471632108</v>
      </c>
      <c r="P22" s="34">
        <v>7.8876055646317598</v>
      </c>
      <c r="Q22" s="34">
        <v>0.36129016127815</v>
      </c>
      <c r="R22" s="34">
        <v>0.36129016127815</v>
      </c>
      <c r="S22" s="34">
        <v>0.4039256106325847</v>
      </c>
      <c r="T22" s="34">
        <v>0.36353304956932625</v>
      </c>
      <c r="U22" s="34">
        <v>6.0000000000000001E-3</v>
      </c>
      <c r="V22" s="34">
        <v>0.04</v>
      </c>
      <c r="W22" s="34">
        <v>4.0000000000000001E-3</v>
      </c>
      <c r="X22" s="34">
        <v>5</v>
      </c>
      <c r="Y22" s="34">
        <v>5</v>
      </c>
      <c r="Z22" s="34">
        <v>5.05</v>
      </c>
      <c r="AA22" s="34">
        <v>5.85</v>
      </c>
      <c r="AB22" s="35">
        <v>5.0999999999999996</v>
      </c>
    </row>
    <row r="23" spans="1:28" x14ac:dyDescent="0.2">
      <c r="A23" s="28">
        <v>45809</v>
      </c>
      <c r="B23" s="29">
        <v>108.59</v>
      </c>
      <c r="C23" s="29">
        <v>114.26</v>
      </c>
      <c r="D23" s="29">
        <v>105.81</v>
      </c>
      <c r="E23" s="29">
        <v>111.48</v>
      </c>
      <c r="F23" s="29">
        <v>59.42</v>
      </c>
      <c r="G23" s="29">
        <v>60.92</v>
      </c>
      <c r="H23" s="29">
        <v>56.21</v>
      </c>
      <c r="I23" s="29">
        <v>57.71</v>
      </c>
      <c r="J23" s="29">
        <v>34.229999999999997</v>
      </c>
      <c r="K23" s="29">
        <v>38.4</v>
      </c>
      <c r="L23" s="30">
        <v>7.4208090894580003</v>
      </c>
      <c r="M23" s="30">
        <v>4.0149305555555603</v>
      </c>
      <c r="N23" s="30">
        <v>3.5274444444444399</v>
      </c>
      <c r="O23" s="30">
        <v>8.9776576471632108</v>
      </c>
      <c r="P23" s="30">
        <v>7.8876055646317598</v>
      </c>
      <c r="Q23" s="30">
        <v>0.36232738873937798</v>
      </c>
      <c r="R23" s="30">
        <v>0.36232738873937798</v>
      </c>
      <c r="S23" s="30">
        <v>0.40392331633703249</v>
      </c>
      <c r="T23" s="30">
        <v>0.36353098470332923</v>
      </c>
      <c r="U23" s="30">
        <v>6.0000000000000001E-3</v>
      </c>
      <c r="V23" s="30">
        <v>0.04</v>
      </c>
      <c r="W23" s="30">
        <v>4.0000000000000001E-3</v>
      </c>
      <c r="X23" s="30">
        <v>5</v>
      </c>
      <c r="Y23" s="30">
        <v>5</v>
      </c>
      <c r="Z23" s="30">
        <v>5.05</v>
      </c>
      <c r="AA23" s="30">
        <v>5.85</v>
      </c>
      <c r="AB23" s="31">
        <v>5.0999999999999996</v>
      </c>
    </row>
    <row r="24" spans="1:28" x14ac:dyDescent="0.2">
      <c r="A24" s="32">
        <v>45839</v>
      </c>
      <c r="B24" s="33">
        <v>100.94</v>
      </c>
      <c r="C24" s="33">
        <v>105.42</v>
      </c>
      <c r="D24" s="33">
        <v>96.48</v>
      </c>
      <c r="E24" s="33">
        <v>100.96</v>
      </c>
      <c r="F24" s="33">
        <v>64.17</v>
      </c>
      <c r="G24" s="33">
        <v>65.67</v>
      </c>
      <c r="H24" s="33">
        <v>60.24</v>
      </c>
      <c r="I24" s="33">
        <v>61.74</v>
      </c>
      <c r="J24" s="33">
        <v>20.82</v>
      </c>
      <c r="K24" s="33">
        <v>23.8</v>
      </c>
      <c r="L24" s="34">
        <v>7.4196065211860001</v>
      </c>
      <c r="M24" s="34">
        <v>4.0149305555555603</v>
      </c>
      <c r="N24" s="34">
        <v>4.0152083333333302</v>
      </c>
      <c r="O24" s="34">
        <v>8.9776576471632108</v>
      </c>
      <c r="P24" s="34">
        <v>8.9782787771569605</v>
      </c>
      <c r="Q24" s="34">
        <v>0.36336759397559698</v>
      </c>
      <c r="R24" s="34">
        <v>0.36336759397559698</v>
      </c>
      <c r="S24" s="34">
        <v>0.40392102206754332</v>
      </c>
      <c r="T24" s="34">
        <v>0.36352891986078895</v>
      </c>
      <c r="U24" s="34">
        <v>6.0000000000000001E-3</v>
      </c>
      <c r="V24" s="34">
        <v>0.04</v>
      </c>
      <c r="W24" s="34">
        <v>4.0000000000000001E-3</v>
      </c>
      <c r="X24" s="34">
        <v>5</v>
      </c>
      <c r="Y24" s="34">
        <v>5</v>
      </c>
      <c r="Z24" s="34">
        <v>5.05</v>
      </c>
      <c r="AA24" s="34">
        <v>5.85</v>
      </c>
      <c r="AB24" s="35">
        <v>5.0999999999999996</v>
      </c>
    </row>
    <row r="25" spans="1:28" x14ac:dyDescent="0.2">
      <c r="A25" s="28">
        <v>45870</v>
      </c>
      <c r="B25" s="29">
        <v>107.75</v>
      </c>
      <c r="C25" s="29">
        <v>112.71</v>
      </c>
      <c r="D25" s="29">
        <v>105.26</v>
      </c>
      <c r="E25" s="29">
        <v>110.22</v>
      </c>
      <c r="F25" s="29">
        <v>65.459999999999994</v>
      </c>
      <c r="G25" s="29">
        <v>66.959999999999994</v>
      </c>
      <c r="H25" s="29">
        <v>62.61</v>
      </c>
      <c r="I25" s="29">
        <v>64.11</v>
      </c>
      <c r="J25" s="29">
        <v>24.26</v>
      </c>
      <c r="K25" s="29">
        <v>27.72</v>
      </c>
      <c r="L25" s="30">
        <v>7.4183842386789998</v>
      </c>
      <c r="M25" s="30">
        <v>4.0149305555555603</v>
      </c>
      <c r="N25" s="30">
        <v>4.0152083333333302</v>
      </c>
      <c r="O25" s="30">
        <v>8.9776576471632108</v>
      </c>
      <c r="P25" s="30">
        <v>8.9782787771569605</v>
      </c>
      <c r="Q25" s="30">
        <v>0.364410785535695</v>
      </c>
      <c r="R25" s="30">
        <v>0.364410785535695</v>
      </c>
      <c r="S25" s="30">
        <v>0.40391869021377957</v>
      </c>
      <c r="T25" s="30">
        <v>0.36352682119240165</v>
      </c>
      <c r="U25" s="30">
        <v>6.0000000000000001E-3</v>
      </c>
      <c r="V25" s="30">
        <v>0.04</v>
      </c>
      <c r="W25" s="30">
        <v>4.0000000000000001E-3</v>
      </c>
      <c r="X25" s="30">
        <v>5</v>
      </c>
      <c r="Y25" s="30">
        <v>5</v>
      </c>
      <c r="Z25" s="30">
        <v>5.05</v>
      </c>
      <c r="AA25" s="30">
        <v>5.85</v>
      </c>
      <c r="AB25" s="31">
        <v>5.0999999999999996</v>
      </c>
    </row>
    <row r="26" spans="1:28" x14ac:dyDescent="0.2">
      <c r="A26" s="32">
        <v>45901</v>
      </c>
      <c r="B26" s="33">
        <v>111.51</v>
      </c>
      <c r="C26" s="33">
        <v>117.07</v>
      </c>
      <c r="D26" s="33">
        <v>108.73</v>
      </c>
      <c r="E26" s="33">
        <v>114.29</v>
      </c>
      <c r="F26" s="33">
        <v>64.91</v>
      </c>
      <c r="G26" s="33">
        <v>66.41</v>
      </c>
      <c r="H26" s="33">
        <v>61.96</v>
      </c>
      <c r="I26" s="33">
        <v>63.46</v>
      </c>
      <c r="J26" s="33">
        <v>28.44</v>
      </c>
      <c r="K26" s="33">
        <v>32.5</v>
      </c>
      <c r="L26" s="34">
        <v>7.4171816704070004</v>
      </c>
      <c r="M26" s="34">
        <v>4.0149305555555603</v>
      </c>
      <c r="N26" s="34">
        <v>4.0152083333333302</v>
      </c>
      <c r="O26" s="34">
        <v>8.9776576471632108</v>
      </c>
      <c r="P26" s="34">
        <v>8.9782787771569605</v>
      </c>
      <c r="Q26" s="34">
        <v>0.365456971993107</v>
      </c>
      <c r="R26" s="34">
        <v>0.365456971993107</v>
      </c>
      <c r="S26" s="34">
        <v>0.40391639599684237</v>
      </c>
      <c r="T26" s="34">
        <v>0.36352475639715814</v>
      </c>
      <c r="U26" s="34">
        <v>6.0000000000000001E-3</v>
      </c>
      <c r="V26" s="34">
        <v>0.04</v>
      </c>
      <c r="W26" s="34">
        <v>4.0000000000000001E-3</v>
      </c>
      <c r="X26" s="34">
        <v>5</v>
      </c>
      <c r="Y26" s="34">
        <v>5</v>
      </c>
      <c r="Z26" s="34">
        <v>5.05</v>
      </c>
      <c r="AA26" s="34">
        <v>5.85</v>
      </c>
      <c r="AB26" s="35">
        <v>5.0999999999999996</v>
      </c>
    </row>
    <row r="27" spans="1:28" x14ac:dyDescent="0.2">
      <c r="A27" s="28">
        <v>45931</v>
      </c>
      <c r="B27" s="29">
        <v>129.97</v>
      </c>
      <c r="C27" s="29">
        <v>135.38</v>
      </c>
      <c r="D27" s="29">
        <v>125.87</v>
      </c>
      <c r="E27" s="29">
        <v>131.28</v>
      </c>
      <c r="F27" s="29">
        <v>64.05</v>
      </c>
      <c r="G27" s="29">
        <v>65.55</v>
      </c>
      <c r="H27" s="29">
        <v>60.43</v>
      </c>
      <c r="I27" s="29">
        <v>61.93</v>
      </c>
      <c r="J27" s="29">
        <v>41.64</v>
      </c>
      <c r="K27" s="29">
        <v>45.55</v>
      </c>
      <c r="L27" s="30">
        <v>7.415978308273</v>
      </c>
      <c r="M27" s="30">
        <v>4.0149305555555603</v>
      </c>
      <c r="N27" s="30">
        <v>4.0152083333333302</v>
      </c>
      <c r="O27" s="30">
        <v>8.9776576471632108</v>
      </c>
      <c r="P27" s="30">
        <v>8.9782787771569605</v>
      </c>
      <c r="Q27" s="30">
        <v>0.36650616194587998</v>
      </c>
      <c r="R27" s="30">
        <v>0.36650616194587998</v>
      </c>
      <c r="S27" s="30">
        <v>0.4039141002915313</v>
      </c>
      <c r="T27" s="30">
        <v>0.36352269026237816</v>
      </c>
      <c r="U27" s="30">
        <v>6.0000000000000001E-3</v>
      </c>
      <c r="V27" s="30">
        <v>0.04</v>
      </c>
      <c r="W27" s="30">
        <v>4.0000000000000001E-3</v>
      </c>
      <c r="X27" s="30">
        <v>5</v>
      </c>
      <c r="Y27" s="30">
        <v>5</v>
      </c>
      <c r="Z27" s="30">
        <v>5.05</v>
      </c>
      <c r="AA27" s="30">
        <v>5.85</v>
      </c>
      <c r="AB27" s="31">
        <v>5.0999999999999996</v>
      </c>
    </row>
    <row r="28" spans="1:28" x14ac:dyDescent="0.2">
      <c r="A28" s="32">
        <v>45962</v>
      </c>
      <c r="B28" s="33">
        <v>133.94</v>
      </c>
      <c r="C28" s="33">
        <v>139.77000000000001</v>
      </c>
      <c r="D28" s="33">
        <v>130.94</v>
      </c>
      <c r="E28" s="33">
        <v>136.77000000000001</v>
      </c>
      <c r="F28" s="33">
        <v>63.28</v>
      </c>
      <c r="G28" s="33">
        <v>64.78</v>
      </c>
      <c r="H28" s="33">
        <v>60.2</v>
      </c>
      <c r="I28" s="33">
        <v>61.7</v>
      </c>
      <c r="J28" s="33">
        <v>46.03</v>
      </c>
      <c r="K28" s="33">
        <v>50.36</v>
      </c>
      <c r="L28" s="34">
        <v>7.4147748910090003</v>
      </c>
      <c r="M28" s="34">
        <v>4.0149305555555603</v>
      </c>
      <c r="N28" s="34">
        <v>4.0152083333333302</v>
      </c>
      <c r="O28" s="34">
        <v>8.9776576471632108</v>
      </c>
      <c r="P28" s="34">
        <v>8.9782787771569605</v>
      </c>
      <c r="Q28" s="34">
        <v>0.36755836401674402</v>
      </c>
      <c r="R28" s="34">
        <v>0.36755836401674402</v>
      </c>
      <c r="S28" s="34">
        <v>0.40391180450708752</v>
      </c>
      <c r="T28" s="34">
        <v>0.3635206240563788</v>
      </c>
      <c r="U28" s="34">
        <v>6.0000000000000001E-3</v>
      </c>
      <c r="V28" s="34">
        <v>0.04</v>
      </c>
      <c r="W28" s="34">
        <v>4.0000000000000001E-3</v>
      </c>
      <c r="X28" s="34">
        <v>5</v>
      </c>
      <c r="Y28" s="34">
        <v>5</v>
      </c>
      <c r="Z28" s="34">
        <v>5.05</v>
      </c>
      <c r="AA28" s="34">
        <v>5.85</v>
      </c>
      <c r="AB28" s="35">
        <v>5.0999999999999996</v>
      </c>
    </row>
    <row r="29" spans="1:28" x14ac:dyDescent="0.2">
      <c r="A29" s="28">
        <v>45992</v>
      </c>
      <c r="B29" s="29">
        <v>134.9</v>
      </c>
      <c r="C29" s="29">
        <v>140.91999999999999</v>
      </c>
      <c r="D29" s="29">
        <v>132.25</v>
      </c>
      <c r="E29" s="29">
        <v>138.27000000000001</v>
      </c>
      <c r="F29" s="29">
        <v>61.07</v>
      </c>
      <c r="G29" s="29">
        <v>62.57</v>
      </c>
      <c r="H29" s="29">
        <v>58.02</v>
      </c>
      <c r="I29" s="29">
        <v>59.52</v>
      </c>
      <c r="J29" s="29">
        <v>48.16</v>
      </c>
      <c r="K29" s="29">
        <v>52.68</v>
      </c>
      <c r="L29" s="30">
        <v>7.4135723227370001</v>
      </c>
      <c r="M29" s="30">
        <v>4.0149305555555603</v>
      </c>
      <c r="N29" s="30">
        <v>4.0152083333333302</v>
      </c>
      <c r="O29" s="30">
        <v>8.9776576471632108</v>
      </c>
      <c r="P29" s="30">
        <v>8.9782787771569605</v>
      </c>
      <c r="Q29" s="30">
        <v>0.36861358685318601</v>
      </c>
      <c r="R29" s="30">
        <v>0.36861358685318601</v>
      </c>
      <c r="S29" s="30">
        <v>0.40390951036836964</v>
      </c>
      <c r="T29" s="30">
        <v>0.36351855933153265</v>
      </c>
      <c r="U29" s="30">
        <v>6.0000000000000001E-3</v>
      </c>
      <c r="V29" s="30">
        <v>0.04</v>
      </c>
      <c r="W29" s="30">
        <v>4.0000000000000001E-3</v>
      </c>
      <c r="X29" s="30">
        <v>5</v>
      </c>
      <c r="Y29" s="30">
        <v>5</v>
      </c>
      <c r="Z29" s="30">
        <v>5.05</v>
      </c>
      <c r="AA29" s="30">
        <v>5.85</v>
      </c>
      <c r="AB29" s="31">
        <v>5.0999999999999996</v>
      </c>
    </row>
    <row r="30" spans="1:28" x14ac:dyDescent="0.2">
      <c r="A30" s="32">
        <v>46023</v>
      </c>
      <c r="B30" s="33">
        <v>116.49</v>
      </c>
      <c r="C30" s="33">
        <v>119.27</v>
      </c>
      <c r="D30" s="33">
        <v>117</v>
      </c>
      <c r="E30" s="33">
        <v>119.78</v>
      </c>
      <c r="F30" s="33">
        <v>14.25</v>
      </c>
      <c r="G30" s="33">
        <v>15.75</v>
      </c>
      <c r="H30" s="33">
        <v>13.85</v>
      </c>
      <c r="I30" s="33">
        <v>15.35</v>
      </c>
      <c r="J30" s="33">
        <v>69.13</v>
      </c>
      <c r="K30" s="33">
        <v>70.41</v>
      </c>
      <c r="L30" s="34">
        <v>7.4128945619879998</v>
      </c>
      <c r="M30" s="34">
        <v>4.0149305555555603</v>
      </c>
      <c r="N30" s="34">
        <v>4.0152083333333302</v>
      </c>
      <c r="O30" s="34">
        <v>8.9776576471632108</v>
      </c>
      <c r="P30" s="34">
        <v>8.9782787771569605</v>
      </c>
      <c r="Q30" s="34">
        <v>0.369671839127517</v>
      </c>
      <c r="R30" s="34">
        <v>0.369671839127517</v>
      </c>
      <c r="S30" s="34">
        <v>0.40392735065015517</v>
      </c>
      <c r="T30" s="34">
        <v>0.36353461558513961</v>
      </c>
      <c r="U30" s="34">
        <v>6.0000000000000001E-3</v>
      </c>
      <c r="V30" s="34">
        <v>0.04</v>
      </c>
      <c r="W30" s="34">
        <v>4.0000000000000001E-3</v>
      </c>
      <c r="X30" s="34">
        <v>4.95</v>
      </c>
      <c r="Y30" s="34">
        <v>4.95</v>
      </c>
      <c r="Z30" s="34">
        <v>5.0250000000000004</v>
      </c>
      <c r="AA30" s="34">
        <v>5.85</v>
      </c>
      <c r="AB30" s="35">
        <v>5.0999999999999996</v>
      </c>
    </row>
    <row r="31" spans="1:28" x14ac:dyDescent="0.2">
      <c r="A31" s="28">
        <v>46054</v>
      </c>
      <c r="B31" s="29">
        <v>117.63</v>
      </c>
      <c r="C31" s="29">
        <v>120.42</v>
      </c>
      <c r="D31" s="29">
        <v>116.97</v>
      </c>
      <c r="E31" s="29">
        <v>119.76</v>
      </c>
      <c r="F31" s="29">
        <v>15.41</v>
      </c>
      <c r="G31" s="29">
        <v>16.91</v>
      </c>
      <c r="H31" s="29">
        <v>14.91</v>
      </c>
      <c r="I31" s="29">
        <v>16.41</v>
      </c>
      <c r="J31" s="29">
        <v>69.53</v>
      </c>
      <c r="K31" s="29">
        <v>70.819999999999993</v>
      </c>
      <c r="L31" s="30">
        <v>7.4128023149719997</v>
      </c>
      <c r="M31" s="30">
        <v>4.0149305555555603</v>
      </c>
      <c r="N31" s="30">
        <v>4.0152083333333302</v>
      </c>
      <c r="O31" s="30">
        <v>8.9776576471632108</v>
      </c>
      <c r="P31" s="30">
        <v>8.9782787771569605</v>
      </c>
      <c r="Q31" s="30">
        <v>0.37073312953694698</v>
      </c>
      <c r="R31" s="30">
        <v>0.37073312953694698</v>
      </c>
      <c r="S31" s="30">
        <v>0.4039648086054145</v>
      </c>
      <c r="T31" s="30">
        <v>0.36356832774487302</v>
      </c>
      <c r="U31" s="30">
        <v>6.0000000000000001E-3</v>
      </c>
      <c r="V31" s="30">
        <v>0.04</v>
      </c>
      <c r="W31" s="30">
        <v>4.0000000000000001E-3</v>
      </c>
      <c r="X31" s="30">
        <v>4.95</v>
      </c>
      <c r="Y31" s="30">
        <v>4.95</v>
      </c>
      <c r="Z31" s="30">
        <v>5.0250000000000004</v>
      </c>
      <c r="AA31" s="30">
        <v>5.85</v>
      </c>
      <c r="AB31" s="31">
        <v>5.0999999999999996</v>
      </c>
    </row>
    <row r="32" spans="1:28" x14ac:dyDescent="0.2">
      <c r="A32" s="32">
        <v>46082</v>
      </c>
      <c r="B32" s="33">
        <v>107.82</v>
      </c>
      <c r="C32" s="33">
        <v>110.45</v>
      </c>
      <c r="D32" s="33">
        <v>105.72</v>
      </c>
      <c r="E32" s="33">
        <v>108.35</v>
      </c>
      <c r="F32" s="33">
        <v>15.48</v>
      </c>
      <c r="G32" s="33">
        <v>16.98</v>
      </c>
      <c r="H32" s="33">
        <v>14.13</v>
      </c>
      <c r="I32" s="33">
        <v>15.63</v>
      </c>
      <c r="J32" s="33">
        <v>60.82</v>
      </c>
      <c r="K32" s="33">
        <v>61.95</v>
      </c>
      <c r="L32" s="34">
        <v>7.4127101310869996</v>
      </c>
      <c r="M32" s="34">
        <v>4.0149305555555603</v>
      </c>
      <c r="N32" s="34">
        <v>4.0152083333333302</v>
      </c>
      <c r="O32" s="34">
        <v>8.9776576471632108</v>
      </c>
      <c r="P32" s="34">
        <v>8.9782787771569605</v>
      </c>
      <c r="Q32" s="34">
        <v>0.371797466803653</v>
      </c>
      <c r="R32" s="34">
        <v>0.371797466803653</v>
      </c>
      <c r="S32" s="34">
        <v>0.40400224786702416</v>
      </c>
      <c r="T32" s="34">
        <v>0.36360202308032169</v>
      </c>
      <c r="U32" s="34">
        <v>6.0000000000000001E-3</v>
      </c>
      <c r="V32" s="34">
        <v>0.04</v>
      </c>
      <c r="W32" s="34">
        <v>4.0000000000000001E-3</v>
      </c>
      <c r="X32" s="34">
        <v>4.95</v>
      </c>
      <c r="Y32" s="34">
        <v>4.95</v>
      </c>
      <c r="Z32" s="34">
        <v>5.0250000000000004</v>
      </c>
      <c r="AA32" s="34">
        <v>5.85</v>
      </c>
      <c r="AB32" s="35">
        <v>5.0999999999999996</v>
      </c>
    </row>
    <row r="33" spans="1:28" x14ac:dyDescent="0.2">
      <c r="A33" s="28">
        <v>46113</v>
      </c>
      <c r="B33" s="29">
        <v>103.77</v>
      </c>
      <c r="C33" s="29">
        <v>105.99</v>
      </c>
      <c r="D33" s="29">
        <v>102.44</v>
      </c>
      <c r="E33" s="29">
        <v>104.66</v>
      </c>
      <c r="F33" s="29">
        <v>53.58</v>
      </c>
      <c r="G33" s="29">
        <v>55.08</v>
      </c>
      <c r="H33" s="29">
        <v>52.73</v>
      </c>
      <c r="I33" s="29">
        <v>54.23</v>
      </c>
      <c r="J33" s="29">
        <v>39.22</v>
      </c>
      <c r="K33" s="29">
        <v>39.94</v>
      </c>
      <c r="L33" s="30">
        <v>7.412614824217</v>
      </c>
      <c r="M33" s="30">
        <v>4.0149305555555603</v>
      </c>
      <c r="N33" s="30">
        <v>4.0152083333333302</v>
      </c>
      <c r="O33" s="30">
        <v>8.9776576471632108</v>
      </c>
      <c r="P33" s="30">
        <v>8.9782787771569605</v>
      </c>
      <c r="Q33" s="30">
        <v>0.372864859674856</v>
      </c>
      <c r="R33" s="30">
        <v>0.372864859674856</v>
      </c>
      <c r="S33" s="30">
        <v>0.40404096278421653</v>
      </c>
      <c r="T33" s="30">
        <v>0.36363686650579491</v>
      </c>
      <c r="U33" s="30">
        <v>6.0000000000000001E-3</v>
      </c>
      <c r="V33" s="30">
        <v>0.04</v>
      </c>
      <c r="W33" s="30">
        <v>4.0000000000000001E-3</v>
      </c>
      <c r="X33" s="30">
        <v>4.95</v>
      </c>
      <c r="Y33" s="30">
        <v>4.95</v>
      </c>
      <c r="Z33" s="30">
        <v>5.0250000000000004</v>
      </c>
      <c r="AA33" s="30">
        <v>5.85</v>
      </c>
      <c r="AB33" s="31">
        <v>5.0999999999999996</v>
      </c>
    </row>
    <row r="34" spans="1:28" x14ac:dyDescent="0.2">
      <c r="A34" s="32">
        <v>46143</v>
      </c>
      <c r="B34" s="33">
        <v>103.08</v>
      </c>
      <c r="C34" s="33">
        <v>105.24</v>
      </c>
      <c r="D34" s="33">
        <v>102.45</v>
      </c>
      <c r="E34" s="33">
        <v>104.61</v>
      </c>
      <c r="F34" s="33">
        <v>54.72</v>
      </c>
      <c r="G34" s="33">
        <v>56.22</v>
      </c>
      <c r="H34" s="33">
        <v>54.03</v>
      </c>
      <c r="I34" s="33">
        <v>55.53</v>
      </c>
      <c r="J34" s="33">
        <v>35.78</v>
      </c>
      <c r="K34" s="33">
        <v>36.44</v>
      </c>
      <c r="L34" s="34">
        <v>7.4125194501839999</v>
      </c>
      <c r="M34" s="34">
        <v>4.0149305555555603</v>
      </c>
      <c r="N34" s="34">
        <v>4.0152083333333302</v>
      </c>
      <c r="O34" s="34">
        <v>8.9776576471632108</v>
      </c>
      <c r="P34" s="34">
        <v>8.9782787771569605</v>
      </c>
      <c r="Q34" s="34">
        <v>0.37393531692288501</v>
      </c>
      <c r="R34" s="34">
        <v>0.37393531692288501</v>
      </c>
      <c r="S34" s="34">
        <v>0.40407971241240814</v>
      </c>
      <c r="T34" s="34">
        <v>0.36367174117116735</v>
      </c>
      <c r="U34" s="34">
        <v>6.0000000000000001E-3</v>
      </c>
      <c r="V34" s="34">
        <v>0.04</v>
      </c>
      <c r="W34" s="34">
        <v>4.0000000000000001E-3</v>
      </c>
      <c r="X34" s="34">
        <v>4.95</v>
      </c>
      <c r="Y34" s="34">
        <v>4.95</v>
      </c>
      <c r="Z34" s="34">
        <v>5.0250000000000004</v>
      </c>
      <c r="AA34" s="34">
        <v>5.85</v>
      </c>
      <c r="AB34" s="35">
        <v>5.0999999999999996</v>
      </c>
    </row>
    <row r="35" spans="1:28" x14ac:dyDescent="0.2">
      <c r="A35" s="28">
        <v>46174</v>
      </c>
      <c r="B35" s="29">
        <v>107.94</v>
      </c>
      <c r="C35" s="29">
        <v>110.09</v>
      </c>
      <c r="D35" s="29">
        <v>107.66</v>
      </c>
      <c r="E35" s="29">
        <v>109.81</v>
      </c>
      <c r="F35" s="29">
        <v>58.58</v>
      </c>
      <c r="G35" s="29">
        <v>60.08</v>
      </c>
      <c r="H35" s="29">
        <v>57.87</v>
      </c>
      <c r="I35" s="29">
        <v>59.37</v>
      </c>
      <c r="J35" s="29">
        <v>34.64</v>
      </c>
      <c r="K35" s="29">
        <v>35.29</v>
      </c>
      <c r="L35" s="30">
        <v>7.4124240761509999</v>
      </c>
      <c r="M35" s="30">
        <v>4.0149305555555603</v>
      </c>
      <c r="N35" s="30">
        <v>4.0152083333333302</v>
      </c>
      <c r="O35" s="30">
        <v>8.9776576471632108</v>
      </c>
      <c r="P35" s="30">
        <v>8.9782787771569605</v>
      </c>
      <c r="Q35" s="30">
        <v>0.37500884734525702</v>
      </c>
      <c r="R35" s="30">
        <v>0.37500884734525702</v>
      </c>
      <c r="S35" s="30">
        <v>0.40411846947389407</v>
      </c>
      <c r="T35" s="30">
        <v>0.36370662252650471</v>
      </c>
      <c r="U35" s="30">
        <v>6.0000000000000001E-3</v>
      </c>
      <c r="V35" s="30">
        <v>0.04</v>
      </c>
      <c r="W35" s="30">
        <v>4.0000000000000001E-3</v>
      </c>
      <c r="X35" s="30">
        <v>4.95</v>
      </c>
      <c r="Y35" s="30">
        <v>4.95</v>
      </c>
      <c r="Z35" s="30">
        <v>5.0250000000000004</v>
      </c>
      <c r="AA35" s="30">
        <v>5.85</v>
      </c>
      <c r="AB35" s="31">
        <v>5.0999999999999996</v>
      </c>
    </row>
    <row r="36" spans="1:28" x14ac:dyDescent="0.2">
      <c r="A36" s="32">
        <v>46204</v>
      </c>
      <c r="B36" s="33">
        <v>100.14</v>
      </c>
      <c r="C36" s="33">
        <v>102.03</v>
      </c>
      <c r="D36" s="33">
        <v>98.18</v>
      </c>
      <c r="E36" s="33">
        <v>100.07</v>
      </c>
      <c r="F36" s="33">
        <v>63.2</v>
      </c>
      <c r="G36" s="33">
        <v>64.7</v>
      </c>
      <c r="H36" s="33">
        <v>61.76</v>
      </c>
      <c r="I36" s="33">
        <v>63.26</v>
      </c>
      <c r="J36" s="33">
        <v>21.29</v>
      </c>
      <c r="K36" s="33">
        <v>21.68</v>
      </c>
      <c r="L36" s="34">
        <v>7.4123287021179998</v>
      </c>
      <c r="M36" s="34">
        <v>4.0149305555555603</v>
      </c>
      <c r="N36" s="34">
        <v>4.0152083333333302</v>
      </c>
      <c r="O36" s="34">
        <v>8.9776576471632108</v>
      </c>
      <c r="P36" s="34">
        <v>8.9782787771569605</v>
      </c>
      <c r="Q36" s="34">
        <v>0.376085459764742</v>
      </c>
      <c r="R36" s="34">
        <v>0.376085459764742</v>
      </c>
      <c r="S36" s="34">
        <v>0.40415723397081343</v>
      </c>
      <c r="T36" s="34">
        <v>0.36374151057373211</v>
      </c>
      <c r="U36" s="34">
        <v>6.0000000000000001E-3</v>
      </c>
      <c r="V36" s="34">
        <v>0.04</v>
      </c>
      <c r="W36" s="34">
        <v>4.0000000000000001E-3</v>
      </c>
      <c r="X36" s="34">
        <v>4.95</v>
      </c>
      <c r="Y36" s="34">
        <v>4.95</v>
      </c>
      <c r="Z36" s="34">
        <v>5.0250000000000004</v>
      </c>
      <c r="AA36" s="34">
        <v>5.85</v>
      </c>
      <c r="AB36" s="35">
        <v>5.0999999999999996</v>
      </c>
    </row>
    <row r="37" spans="1:28" x14ac:dyDescent="0.2">
      <c r="A37" s="28">
        <v>46235</v>
      </c>
      <c r="B37" s="29">
        <v>107.01</v>
      </c>
      <c r="C37" s="29">
        <v>108.97</v>
      </c>
      <c r="D37" s="29">
        <v>107.01</v>
      </c>
      <c r="E37" s="29">
        <v>108.97</v>
      </c>
      <c r="F37" s="29">
        <v>64.489999999999995</v>
      </c>
      <c r="G37" s="29">
        <v>65.989999999999995</v>
      </c>
      <c r="H37" s="29">
        <v>64.13</v>
      </c>
      <c r="I37" s="29">
        <v>65.63</v>
      </c>
      <c r="J37" s="29">
        <v>24.79</v>
      </c>
      <c r="K37" s="29">
        <v>25.25</v>
      </c>
      <c r="L37" s="30">
        <v>7.4122317645760001</v>
      </c>
      <c r="M37" s="30">
        <v>4.0149305555555603</v>
      </c>
      <c r="N37" s="30">
        <v>4.0152083333333302</v>
      </c>
      <c r="O37" s="30">
        <v>8.9776576471632108</v>
      </c>
      <c r="P37" s="30">
        <v>8.9782787771569605</v>
      </c>
      <c r="Q37" s="30">
        <v>0.37716516302944397</v>
      </c>
      <c r="R37" s="30">
        <v>0.37716516302944397</v>
      </c>
      <c r="S37" s="30">
        <v>0.40419664157277729</v>
      </c>
      <c r="T37" s="30">
        <v>0.36377697741549958</v>
      </c>
      <c r="U37" s="30">
        <v>6.0000000000000001E-3</v>
      </c>
      <c r="V37" s="30">
        <v>0.04</v>
      </c>
      <c r="W37" s="30">
        <v>4.0000000000000001E-3</v>
      </c>
      <c r="X37" s="30">
        <v>4.95</v>
      </c>
      <c r="Y37" s="30">
        <v>4.95</v>
      </c>
      <c r="Z37" s="30">
        <v>5.0250000000000004</v>
      </c>
      <c r="AA37" s="30">
        <v>5.85</v>
      </c>
      <c r="AB37" s="31">
        <v>5.0999999999999996</v>
      </c>
    </row>
    <row r="38" spans="1:28" x14ac:dyDescent="0.2">
      <c r="A38" s="32">
        <v>46266</v>
      </c>
      <c r="B38" s="33">
        <v>110.86</v>
      </c>
      <c r="C38" s="33">
        <v>112.9</v>
      </c>
      <c r="D38" s="33">
        <v>110.58</v>
      </c>
      <c r="E38" s="33">
        <v>112.62</v>
      </c>
      <c r="F38" s="33">
        <v>63.93</v>
      </c>
      <c r="G38" s="33">
        <v>65.430000000000007</v>
      </c>
      <c r="H38" s="33">
        <v>63.48</v>
      </c>
      <c r="I38" s="33">
        <v>64.98</v>
      </c>
      <c r="J38" s="33">
        <v>29.07</v>
      </c>
      <c r="K38" s="33">
        <v>29.61</v>
      </c>
      <c r="L38" s="34">
        <v>7.412136390543</v>
      </c>
      <c r="M38" s="34">
        <v>4.0149305555555603</v>
      </c>
      <c r="N38" s="34">
        <v>4.0152083333333302</v>
      </c>
      <c r="O38" s="34">
        <v>8.9776576471632108</v>
      </c>
      <c r="P38" s="34">
        <v>8.9782787771569605</v>
      </c>
      <c r="Q38" s="34">
        <v>0.37824796601286598</v>
      </c>
      <c r="R38" s="34">
        <v>0.37824796601286598</v>
      </c>
      <c r="S38" s="34">
        <v>0.40423542106896443</v>
      </c>
      <c r="T38" s="34">
        <v>0.36381187896206796</v>
      </c>
      <c r="U38" s="34">
        <v>6.0000000000000001E-3</v>
      </c>
      <c r="V38" s="34">
        <v>0.04</v>
      </c>
      <c r="W38" s="34">
        <v>4.0000000000000001E-3</v>
      </c>
      <c r="X38" s="34">
        <v>4.95</v>
      </c>
      <c r="Y38" s="34">
        <v>4.95</v>
      </c>
      <c r="Z38" s="34">
        <v>5.0250000000000004</v>
      </c>
      <c r="AA38" s="34">
        <v>5.85</v>
      </c>
      <c r="AB38" s="35">
        <v>5.0999999999999996</v>
      </c>
    </row>
    <row r="39" spans="1:28" x14ac:dyDescent="0.2">
      <c r="A39" s="28">
        <v>46296</v>
      </c>
      <c r="B39" s="29">
        <v>105.94</v>
      </c>
      <c r="C39" s="29">
        <v>108.21</v>
      </c>
      <c r="D39" s="29">
        <v>104.35</v>
      </c>
      <c r="E39" s="29">
        <v>106.62</v>
      </c>
      <c r="F39" s="29">
        <v>40.5</v>
      </c>
      <c r="G39" s="29">
        <v>42</v>
      </c>
      <c r="H39" s="29">
        <v>39.380000000000003</v>
      </c>
      <c r="I39" s="29">
        <v>40.880000000000003</v>
      </c>
      <c r="J39" s="29">
        <v>41.59</v>
      </c>
      <c r="K39" s="29">
        <v>42.36</v>
      </c>
      <c r="L39" s="30">
        <v>7.41204095355</v>
      </c>
      <c r="M39" s="30">
        <v>4.0149305555555603</v>
      </c>
      <c r="N39" s="30">
        <v>4.0152083333333302</v>
      </c>
      <c r="O39" s="30">
        <v>8.9776576471632108</v>
      </c>
      <c r="P39" s="30">
        <v>8.9782787771569605</v>
      </c>
      <c r="Q39" s="30">
        <v>0.37933387761398601</v>
      </c>
      <c r="R39" s="30">
        <v>0.37933387761398601</v>
      </c>
      <c r="S39" s="30">
        <v>0.40427423361423481</v>
      </c>
      <c r="T39" s="30">
        <v>0.36384681025281135</v>
      </c>
      <c r="U39" s="30">
        <v>6.0000000000000001E-3</v>
      </c>
      <c r="V39" s="30">
        <v>0.04</v>
      </c>
      <c r="W39" s="30">
        <v>4.0000000000000001E-3</v>
      </c>
      <c r="X39" s="30">
        <v>4.95</v>
      </c>
      <c r="Y39" s="30">
        <v>4.95</v>
      </c>
      <c r="Z39" s="30">
        <v>5.0250000000000004</v>
      </c>
      <c r="AA39" s="30">
        <v>5.85</v>
      </c>
      <c r="AB39" s="31">
        <v>5.0999999999999996</v>
      </c>
    </row>
    <row r="40" spans="1:28" x14ac:dyDescent="0.2">
      <c r="A40" s="32">
        <v>46327</v>
      </c>
      <c r="B40" s="33">
        <v>109.92</v>
      </c>
      <c r="C40" s="33">
        <v>112.27</v>
      </c>
      <c r="D40" s="33">
        <v>109.42</v>
      </c>
      <c r="E40" s="33">
        <v>111.77</v>
      </c>
      <c r="F40" s="33">
        <v>39.729999999999997</v>
      </c>
      <c r="G40" s="33">
        <v>41.23</v>
      </c>
      <c r="H40" s="33">
        <v>39.15</v>
      </c>
      <c r="I40" s="33">
        <v>40.65</v>
      </c>
      <c r="J40" s="33">
        <v>45.98</v>
      </c>
      <c r="K40" s="33">
        <v>46.83</v>
      </c>
      <c r="L40" s="34">
        <v>7.4119455121850004</v>
      </c>
      <c r="M40" s="34">
        <v>4.0149305555555603</v>
      </c>
      <c r="N40" s="34">
        <v>4.0152083333333302</v>
      </c>
      <c r="O40" s="34">
        <v>8.9776576471632108</v>
      </c>
      <c r="P40" s="34">
        <v>8.9782787771569605</v>
      </c>
      <c r="Q40" s="34">
        <v>0.38042290675732998</v>
      </c>
      <c r="R40" s="34">
        <v>0.38042290675732998</v>
      </c>
      <c r="S40" s="34">
        <v>0.40431305539202322</v>
      </c>
      <c r="T40" s="34">
        <v>0.3638817498528209</v>
      </c>
      <c r="U40" s="34">
        <v>6.0000000000000001E-3</v>
      </c>
      <c r="V40" s="34">
        <v>0.04</v>
      </c>
      <c r="W40" s="34">
        <v>4.0000000000000001E-3</v>
      </c>
      <c r="X40" s="34">
        <v>4.95</v>
      </c>
      <c r="Y40" s="34">
        <v>4.95</v>
      </c>
      <c r="Z40" s="34">
        <v>5.0250000000000004</v>
      </c>
      <c r="AA40" s="34">
        <v>5.85</v>
      </c>
      <c r="AB40" s="35">
        <v>5.0999999999999996</v>
      </c>
    </row>
    <row r="41" spans="1:28" x14ac:dyDescent="0.2">
      <c r="A41" s="28">
        <v>46357</v>
      </c>
      <c r="B41" s="29">
        <v>110.87</v>
      </c>
      <c r="C41" s="29">
        <v>113.26</v>
      </c>
      <c r="D41" s="29">
        <v>110.71</v>
      </c>
      <c r="E41" s="29">
        <v>113.1</v>
      </c>
      <c r="F41" s="29">
        <v>37.520000000000003</v>
      </c>
      <c r="G41" s="29">
        <v>39.020000000000003</v>
      </c>
      <c r="H41" s="29">
        <v>36.97</v>
      </c>
      <c r="I41" s="29">
        <v>38.47</v>
      </c>
      <c r="J41" s="29">
        <v>48.1</v>
      </c>
      <c r="K41" s="29">
        <v>48.99</v>
      </c>
      <c r="L41" s="30">
        <v>7.4118501381520003</v>
      </c>
      <c r="M41" s="30">
        <v>4.0149305555555603</v>
      </c>
      <c r="N41" s="30">
        <v>4.0152083333333302</v>
      </c>
      <c r="O41" s="30">
        <v>8.9776576471632108</v>
      </c>
      <c r="P41" s="30">
        <v>8.9782787771569605</v>
      </c>
      <c r="Q41" s="30">
        <v>0.381515062393047</v>
      </c>
      <c r="R41" s="30">
        <v>0.381515062393047</v>
      </c>
      <c r="S41" s="30">
        <v>0.40435185723048439</v>
      </c>
      <c r="T41" s="30">
        <v>0.36391667150743595</v>
      </c>
      <c r="U41" s="30">
        <v>6.0000000000000001E-3</v>
      </c>
      <c r="V41" s="30">
        <v>0.04</v>
      </c>
      <c r="W41" s="30">
        <v>4.0000000000000001E-3</v>
      </c>
      <c r="X41" s="30">
        <v>4.95</v>
      </c>
      <c r="Y41" s="30">
        <v>4.95</v>
      </c>
      <c r="Z41" s="30">
        <v>5.0250000000000004</v>
      </c>
      <c r="AA41" s="30">
        <v>5.85</v>
      </c>
      <c r="AB41" s="31">
        <v>5.0999999999999996</v>
      </c>
    </row>
    <row r="42" spans="1:28" x14ac:dyDescent="0.2">
      <c r="A42" s="32">
        <v>46388</v>
      </c>
      <c r="B42" s="33">
        <v>97.44</v>
      </c>
      <c r="C42" s="33">
        <v>101.18</v>
      </c>
      <c r="D42" s="33">
        <v>108.28</v>
      </c>
      <c r="E42" s="33">
        <v>112.02</v>
      </c>
      <c r="F42" s="33">
        <v>-6.08</v>
      </c>
      <c r="G42" s="33">
        <v>-4.58</v>
      </c>
      <c r="H42" s="33">
        <v>3.85</v>
      </c>
      <c r="I42" s="33">
        <v>5.35</v>
      </c>
      <c r="J42" s="33">
        <v>70.41</v>
      </c>
      <c r="K42" s="33">
        <v>72.650000000000006</v>
      </c>
      <c r="L42" s="34">
        <v>7.4117532006099998</v>
      </c>
      <c r="M42" s="34">
        <v>4.0149305555555603</v>
      </c>
      <c r="N42" s="34">
        <v>4.0152083333333302</v>
      </c>
      <c r="O42" s="34">
        <v>8.9776576471632108</v>
      </c>
      <c r="P42" s="34">
        <v>8.9782787771569605</v>
      </c>
      <c r="Q42" s="34">
        <v>0.38261035349698003</v>
      </c>
      <c r="R42" s="34">
        <v>0.38261035349698003</v>
      </c>
      <c r="S42" s="34">
        <v>0.40439130279710767</v>
      </c>
      <c r="T42" s="34">
        <v>0.36395217251739692</v>
      </c>
      <c r="U42" s="34">
        <v>6.0000000000000001E-3</v>
      </c>
      <c r="V42" s="34">
        <v>0.04</v>
      </c>
      <c r="W42" s="34">
        <v>4.0000000000000001E-3</v>
      </c>
      <c r="X42" s="34">
        <v>4.95</v>
      </c>
      <c r="Y42" s="34">
        <v>4.95</v>
      </c>
      <c r="Z42" s="34">
        <v>4.9749999999999996</v>
      </c>
      <c r="AA42" s="34">
        <v>5.75</v>
      </c>
      <c r="AB42" s="35">
        <v>5</v>
      </c>
    </row>
    <row r="43" spans="1:28" x14ac:dyDescent="0.2">
      <c r="A43" s="28">
        <v>46419</v>
      </c>
      <c r="B43" s="29">
        <v>98.59</v>
      </c>
      <c r="C43" s="29">
        <v>102.34</v>
      </c>
      <c r="D43" s="29">
        <v>108.26</v>
      </c>
      <c r="E43" s="29">
        <v>112.01</v>
      </c>
      <c r="F43" s="29">
        <v>-4.92</v>
      </c>
      <c r="G43" s="29">
        <v>-3.42</v>
      </c>
      <c r="H43" s="29">
        <v>4.91</v>
      </c>
      <c r="I43" s="29">
        <v>6.41</v>
      </c>
      <c r="J43" s="29">
        <v>70.819999999999993</v>
      </c>
      <c r="K43" s="29">
        <v>73.069999999999993</v>
      </c>
      <c r="L43" s="30">
        <v>7.4116609535949998</v>
      </c>
      <c r="M43" s="30">
        <v>4.0149305555555603</v>
      </c>
      <c r="N43" s="30">
        <v>4.0152083333333302</v>
      </c>
      <c r="O43" s="30">
        <v>8.9776576471632108</v>
      </c>
      <c r="P43" s="30">
        <v>8.9782787771569605</v>
      </c>
      <c r="Q43" s="30">
        <v>0.38370878907074002</v>
      </c>
      <c r="R43" s="30">
        <v>0.38370878907074002</v>
      </c>
      <c r="S43" s="30">
        <v>0.40442884685447433</v>
      </c>
      <c r="T43" s="30">
        <v>0.3639859621690269</v>
      </c>
      <c r="U43" s="30">
        <v>6.0000000000000001E-3</v>
      </c>
      <c r="V43" s="30">
        <v>0.04</v>
      </c>
      <c r="W43" s="30">
        <v>4.0000000000000001E-3</v>
      </c>
      <c r="X43" s="30">
        <v>4.95</v>
      </c>
      <c r="Y43" s="30">
        <v>4.95</v>
      </c>
      <c r="Z43" s="30">
        <v>4.9749999999999996</v>
      </c>
      <c r="AA43" s="30">
        <v>5.75</v>
      </c>
      <c r="AB43" s="31">
        <v>5</v>
      </c>
    </row>
    <row r="44" spans="1:28" x14ac:dyDescent="0.2">
      <c r="A44" s="32">
        <v>46447</v>
      </c>
      <c r="B44" s="33">
        <v>88.62</v>
      </c>
      <c r="C44" s="33">
        <v>92.09</v>
      </c>
      <c r="D44" s="33">
        <v>96.85</v>
      </c>
      <c r="E44" s="33">
        <v>100.32</v>
      </c>
      <c r="F44" s="33">
        <v>-4.8499999999999996</v>
      </c>
      <c r="G44" s="33">
        <v>-3.35</v>
      </c>
      <c r="H44" s="33">
        <v>4.13</v>
      </c>
      <c r="I44" s="33">
        <v>5.63</v>
      </c>
      <c r="J44" s="33">
        <v>61.95</v>
      </c>
      <c r="K44" s="33">
        <v>63.92</v>
      </c>
      <c r="L44" s="34">
        <v>7.4115687697089996</v>
      </c>
      <c r="M44" s="34">
        <v>4.0149305555555603</v>
      </c>
      <c r="N44" s="34">
        <v>4.0152083333333302</v>
      </c>
      <c r="O44" s="34">
        <v>8.9776576471632108</v>
      </c>
      <c r="P44" s="34">
        <v>8.9782787771569605</v>
      </c>
      <c r="Q44" s="34">
        <v>0.38481037814178098</v>
      </c>
      <c r="R44" s="34">
        <v>0.38481037814178098</v>
      </c>
      <c r="S44" s="34">
        <v>0.40446637218310444</v>
      </c>
      <c r="T44" s="34">
        <v>0.36401973496479395</v>
      </c>
      <c r="U44" s="34">
        <v>6.0000000000000001E-3</v>
      </c>
      <c r="V44" s="34">
        <v>0.04</v>
      </c>
      <c r="W44" s="34">
        <v>4.0000000000000001E-3</v>
      </c>
      <c r="X44" s="34">
        <v>4.95</v>
      </c>
      <c r="Y44" s="34">
        <v>4.95</v>
      </c>
      <c r="Z44" s="34">
        <v>4.9749999999999996</v>
      </c>
      <c r="AA44" s="34">
        <v>5.75</v>
      </c>
      <c r="AB44" s="35">
        <v>5</v>
      </c>
    </row>
    <row r="45" spans="1:28" x14ac:dyDescent="0.2">
      <c r="A45" s="28">
        <v>46478</v>
      </c>
      <c r="B45" s="29">
        <v>91.7</v>
      </c>
      <c r="C45" s="29">
        <v>94.47</v>
      </c>
      <c r="D45" s="29">
        <v>93.16</v>
      </c>
      <c r="E45" s="29">
        <v>95.93</v>
      </c>
      <c r="F45" s="29">
        <v>40.79</v>
      </c>
      <c r="G45" s="29">
        <v>42.29</v>
      </c>
      <c r="H45" s="29">
        <v>42.73</v>
      </c>
      <c r="I45" s="29">
        <v>44.23</v>
      </c>
      <c r="J45" s="29">
        <v>39.94</v>
      </c>
      <c r="K45" s="29">
        <v>41.21</v>
      </c>
      <c r="L45" s="30">
        <v>7.411473462839</v>
      </c>
      <c r="M45" s="30">
        <v>4.0149305555555603</v>
      </c>
      <c r="N45" s="30">
        <v>4.0152083333333302</v>
      </c>
      <c r="O45" s="30">
        <v>8.9776576471632108</v>
      </c>
      <c r="P45" s="30">
        <v>8.9782787771569605</v>
      </c>
      <c r="Q45" s="30">
        <v>0.38591512976347597</v>
      </c>
      <c r="R45" s="30">
        <v>0.38591512976347597</v>
      </c>
      <c r="S45" s="30">
        <v>0.40450517610836428</v>
      </c>
      <c r="T45" s="30">
        <v>0.36405465849752788</v>
      </c>
      <c r="U45" s="30">
        <v>6.0000000000000001E-3</v>
      </c>
      <c r="V45" s="30">
        <v>0.04</v>
      </c>
      <c r="W45" s="30">
        <v>4.0000000000000001E-3</v>
      </c>
      <c r="X45" s="30">
        <v>4.95</v>
      </c>
      <c r="Y45" s="30">
        <v>4.95</v>
      </c>
      <c r="Z45" s="30">
        <v>4.9749999999999996</v>
      </c>
      <c r="AA45" s="30">
        <v>5.75</v>
      </c>
      <c r="AB45" s="31">
        <v>5</v>
      </c>
    </row>
    <row r="46" spans="1:28" x14ac:dyDescent="0.2">
      <c r="A46" s="32">
        <v>46508</v>
      </c>
      <c r="B46" s="33">
        <v>90.96</v>
      </c>
      <c r="C46" s="33">
        <v>93.62</v>
      </c>
      <c r="D46" s="33">
        <v>93.11</v>
      </c>
      <c r="E46" s="33">
        <v>95.77</v>
      </c>
      <c r="F46" s="33">
        <v>41.94</v>
      </c>
      <c r="G46" s="33">
        <v>43.44</v>
      </c>
      <c r="H46" s="33">
        <v>44.03</v>
      </c>
      <c r="I46" s="33">
        <v>45.53</v>
      </c>
      <c r="J46" s="33">
        <v>36.44</v>
      </c>
      <c r="K46" s="33">
        <v>37.6</v>
      </c>
      <c r="L46" s="34">
        <v>7.4113780888059999</v>
      </c>
      <c r="M46" s="34">
        <v>4.0149305555555603</v>
      </c>
      <c r="N46" s="34">
        <v>4.0152083333333302</v>
      </c>
      <c r="O46" s="34">
        <v>8.9776576471632108</v>
      </c>
      <c r="P46" s="34">
        <v>8.9782787771569605</v>
      </c>
      <c r="Q46" s="34">
        <v>0.38702305301518602</v>
      </c>
      <c r="R46" s="34">
        <v>0.38702305301518602</v>
      </c>
      <c r="S46" s="34">
        <v>0.40454401483287245</v>
      </c>
      <c r="T46" s="34">
        <v>0.36408961334958517</v>
      </c>
      <c r="U46" s="34">
        <v>6.0000000000000001E-3</v>
      </c>
      <c r="V46" s="34">
        <v>0.04</v>
      </c>
      <c r="W46" s="34">
        <v>4.0000000000000001E-3</v>
      </c>
      <c r="X46" s="34">
        <v>4.95</v>
      </c>
      <c r="Y46" s="34">
        <v>4.95</v>
      </c>
      <c r="Z46" s="34">
        <v>4.9749999999999996</v>
      </c>
      <c r="AA46" s="34">
        <v>5.75</v>
      </c>
      <c r="AB46" s="35">
        <v>5</v>
      </c>
    </row>
    <row r="47" spans="1:28" x14ac:dyDescent="0.2">
      <c r="A47" s="28">
        <v>46539</v>
      </c>
      <c r="B47" s="29">
        <v>95.8</v>
      </c>
      <c r="C47" s="29">
        <v>98.42</v>
      </c>
      <c r="D47" s="29">
        <v>98.31</v>
      </c>
      <c r="E47" s="29">
        <v>100.93</v>
      </c>
      <c r="F47" s="29">
        <v>45.79</v>
      </c>
      <c r="G47" s="29">
        <v>47.29</v>
      </c>
      <c r="H47" s="29">
        <v>47.87</v>
      </c>
      <c r="I47" s="29">
        <v>49.37</v>
      </c>
      <c r="J47" s="29">
        <v>35.29</v>
      </c>
      <c r="K47" s="29">
        <v>36.409999999999997</v>
      </c>
      <c r="L47" s="30">
        <v>7.4112827147729998</v>
      </c>
      <c r="M47" s="30">
        <v>4.0149305555555603</v>
      </c>
      <c r="N47" s="30">
        <v>4.0152083333333302</v>
      </c>
      <c r="O47" s="30">
        <v>8.9776576471632108</v>
      </c>
      <c r="P47" s="30">
        <v>8.9782787771569605</v>
      </c>
      <c r="Q47" s="30">
        <v>0.388134157002341</v>
      </c>
      <c r="R47" s="30">
        <v>0.388134157002341</v>
      </c>
      <c r="S47" s="30">
        <v>0.40458286101638224</v>
      </c>
      <c r="T47" s="30">
        <v>0.36412457491474398</v>
      </c>
      <c r="U47" s="30">
        <v>6.0000000000000001E-3</v>
      </c>
      <c r="V47" s="30">
        <v>0.04</v>
      </c>
      <c r="W47" s="30">
        <v>4.0000000000000001E-3</v>
      </c>
      <c r="X47" s="30">
        <v>4.95</v>
      </c>
      <c r="Y47" s="30">
        <v>4.95</v>
      </c>
      <c r="Z47" s="30">
        <v>4.9749999999999996</v>
      </c>
      <c r="AA47" s="30">
        <v>5.75</v>
      </c>
      <c r="AB47" s="31">
        <v>5</v>
      </c>
    </row>
    <row r="48" spans="1:28" x14ac:dyDescent="0.2">
      <c r="A48" s="32">
        <v>46569</v>
      </c>
      <c r="B48" s="33">
        <v>85.89</v>
      </c>
      <c r="C48" s="33">
        <v>88.08</v>
      </c>
      <c r="D48" s="33">
        <v>88.57</v>
      </c>
      <c r="E48" s="33">
        <v>90.76</v>
      </c>
      <c r="F48" s="33">
        <v>48.56</v>
      </c>
      <c r="G48" s="33">
        <v>50.06</v>
      </c>
      <c r="H48" s="33">
        <v>51.76</v>
      </c>
      <c r="I48" s="33">
        <v>53.26</v>
      </c>
      <c r="J48" s="33">
        <v>21.68</v>
      </c>
      <c r="K48" s="33">
        <v>22.37</v>
      </c>
      <c r="L48" s="34">
        <v>7.4111873407399997</v>
      </c>
      <c r="M48" s="34">
        <v>4.0149305555555603</v>
      </c>
      <c r="N48" s="34">
        <v>4.0152083333333302</v>
      </c>
      <c r="O48" s="34">
        <v>8.9776576471632108</v>
      </c>
      <c r="P48" s="34">
        <v>8.9782787771569605</v>
      </c>
      <c r="Q48" s="34">
        <v>0.389248450856508</v>
      </c>
      <c r="R48" s="34">
        <v>0.389248450856508</v>
      </c>
      <c r="S48" s="34">
        <v>0.40462171466098817</v>
      </c>
      <c r="T48" s="34">
        <v>0.3641595431948893</v>
      </c>
      <c r="U48" s="34">
        <v>6.0000000000000001E-3</v>
      </c>
      <c r="V48" s="34">
        <v>0.04</v>
      </c>
      <c r="W48" s="34">
        <v>4.0000000000000001E-3</v>
      </c>
      <c r="X48" s="34">
        <v>4.95</v>
      </c>
      <c r="Y48" s="34">
        <v>4.95</v>
      </c>
      <c r="Z48" s="34">
        <v>4.9749999999999996</v>
      </c>
      <c r="AA48" s="34">
        <v>5.75</v>
      </c>
      <c r="AB48" s="35">
        <v>5</v>
      </c>
    </row>
    <row r="49" spans="1:28" x14ac:dyDescent="0.2">
      <c r="A49" s="28">
        <v>46600</v>
      </c>
      <c r="B49" s="29">
        <v>92.83</v>
      </c>
      <c r="C49" s="29">
        <v>95.13</v>
      </c>
      <c r="D49" s="29">
        <v>97.47</v>
      </c>
      <c r="E49" s="29">
        <v>99.77</v>
      </c>
      <c r="F49" s="29">
        <v>49.85</v>
      </c>
      <c r="G49" s="29">
        <v>51.35</v>
      </c>
      <c r="H49" s="29">
        <v>54.13</v>
      </c>
      <c r="I49" s="29">
        <v>55.63</v>
      </c>
      <c r="J49" s="29">
        <v>25.25</v>
      </c>
      <c r="K49" s="29">
        <v>26.05</v>
      </c>
      <c r="L49" s="30">
        <v>7.4110904031990001</v>
      </c>
      <c r="M49" s="30">
        <v>4.0149305555555603</v>
      </c>
      <c r="N49" s="30">
        <v>4.0152083333333302</v>
      </c>
      <c r="O49" s="30">
        <v>8.9776576471632108</v>
      </c>
      <c r="P49" s="30">
        <v>8.9782787771569605</v>
      </c>
      <c r="Q49" s="30">
        <v>0.39036594373547501</v>
      </c>
      <c r="R49" s="30">
        <v>0.39036594373547501</v>
      </c>
      <c r="S49" s="30">
        <v>0.40466121289838342</v>
      </c>
      <c r="T49" s="30">
        <v>0.36419509160854507</v>
      </c>
      <c r="U49" s="30">
        <v>6.0000000000000001E-3</v>
      </c>
      <c r="V49" s="30">
        <v>0.04</v>
      </c>
      <c r="W49" s="30">
        <v>4.0000000000000001E-3</v>
      </c>
      <c r="X49" s="30">
        <v>4.95</v>
      </c>
      <c r="Y49" s="30">
        <v>4.95</v>
      </c>
      <c r="Z49" s="30">
        <v>4.9749999999999996</v>
      </c>
      <c r="AA49" s="30">
        <v>5.75</v>
      </c>
      <c r="AB49" s="31">
        <v>5</v>
      </c>
    </row>
    <row r="50" spans="1:28" x14ac:dyDescent="0.2">
      <c r="A50" s="32">
        <v>46631</v>
      </c>
      <c r="B50" s="33">
        <v>96.76</v>
      </c>
      <c r="C50" s="33">
        <v>99.2</v>
      </c>
      <c r="D50" s="33">
        <v>101.12</v>
      </c>
      <c r="E50" s="33">
        <v>103.56</v>
      </c>
      <c r="F50" s="33">
        <v>49.29</v>
      </c>
      <c r="G50" s="33">
        <v>50.79</v>
      </c>
      <c r="H50" s="33">
        <v>53.48</v>
      </c>
      <c r="I50" s="33">
        <v>54.98</v>
      </c>
      <c r="J50" s="33">
        <v>29.61</v>
      </c>
      <c r="K50" s="33">
        <v>30.55</v>
      </c>
      <c r="L50" s="34">
        <v>7.4109950291660001</v>
      </c>
      <c r="M50" s="34">
        <v>4.0149305555555603</v>
      </c>
      <c r="N50" s="34">
        <v>4.0152083333333302</v>
      </c>
      <c r="O50" s="34">
        <v>8.9776576471632108</v>
      </c>
      <c r="P50" s="34">
        <v>8.9782787771569605</v>
      </c>
      <c r="Q50" s="34">
        <v>0.39148664482331602</v>
      </c>
      <c r="R50" s="34">
        <v>0.39148664482331602</v>
      </c>
      <c r="S50" s="34">
        <v>0.4047000815940332</v>
      </c>
      <c r="T50" s="34">
        <v>0.36423007343462993</v>
      </c>
      <c r="U50" s="34">
        <v>6.0000000000000001E-3</v>
      </c>
      <c r="V50" s="34">
        <v>0.04</v>
      </c>
      <c r="W50" s="34">
        <v>4.0000000000000001E-3</v>
      </c>
      <c r="X50" s="34">
        <v>4.95</v>
      </c>
      <c r="Y50" s="34">
        <v>4.95</v>
      </c>
      <c r="Z50" s="34">
        <v>4.9749999999999996</v>
      </c>
      <c r="AA50" s="34">
        <v>5.75</v>
      </c>
      <c r="AB50" s="35">
        <v>5</v>
      </c>
    </row>
    <row r="51" spans="1:28" x14ac:dyDescent="0.2">
      <c r="A51" s="28">
        <v>46661</v>
      </c>
      <c r="B51" s="29">
        <v>115.13</v>
      </c>
      <c r="C51" s="29">
        <v>117.98</v>
      </c>
      <c r="D51" s="29">
        <v>95.12</v>
      </c>
      <c r="E51" s="29">
        <v>97.97</v>
      </c>
      <c r="F51" s="29">
        <v>48.92</v>
      </c>
      <c r="G51" s="29">
        <v>50.42</v>
      </c>
      <c r="H51" s="29">
        <v>29.38</v>
      </c>
      <c r="I51" s="29">
        <v>30.88</v>
      </c>
      <c r="J51" s="29">
        <v>42.36</v>
      </c>
      <c r="K51" s="29">
        <v>43.71</v>
      </c>
      <c r="L51" s="30">
        <v>7.4108995921730001</v>
      </c>
      <c r="M51" s="30">
        <v>4.0149305555555603</v>
      </c>
      <c r="N51" s="30">
        <v>4.0152083333333302</v>
      </c>
      <c r="O51" s="30">
        <v>8.9776576471632108</v>
      </c>
      <c r="P51" s="30">
        <v>8.9782787771569605</v>
      </c>
      <c r="Q51" s="30">
        <v>0.392610563330475</v>
      </c>
      <c r="R51" s="30">
        <v>0.392610563330475</v>
      </c>
      <c r="S51" s="30">
        <v>0.40473898342336795</v>
      </c>
      <c r="T51" s="30">
        <v>0.36426508508103111</v>
      </c>
      <c r="U51" s="30">
        <v>6.0000000000000001E-3</v>
      </c>
      <c r="V51" s="30">
        <v>0.04</v>
      </c>
      <c r="W51" s="30">
        <v>4.0000000000000001E-3</v>
      </c>
      <c r="X51" s="30">
        <v>4.95</v>
      </c>
      <c r="Y51" s="30">
        <v>4.95</v>
      </c>
      <c r="Z51" s="30">
        <v>4.9749999999999996</v>
      </c>
      <c r="AA51" s="30">
        <v>5.75</v>
      </c>
      <c r="AB51" s="31">
        <v>5</v>
      </c>
    </row>
    <row r="52" spans="1:28" x14ac:dyDescent="0.2">
      <c r="A52" s="32">
        <v>46692</v>
      </c>
      <c r="B52" s="33">
        <v>119.18</v>
      </c>
      <c r="C52" s="33">
        <v>122.17</v>
      </c>
      <c r="D52" s="33">
        <v>100.27</v>
      </c>
      <c r="E52" s="33">
        <v>103.26</v>
      </c>
      <c r="F52" s="33">
        <v>48.14</v>
      </c>
      <c r="G52" s="33">
        <v>49.64</v>
      </c>
      <c r="H52" s="33">
        <v>29.15</v>
      </c>
      <c r="I52" s="33">
        <v>30.65</v>
      </c>
      <c r="J52" s="33">
        <v>46.83</v>
      </c>
      <c r="K52" s="33">
        <v>48.32</v>
      </c>
      <c r="L52" s="34">
        <v>7.4108041508070004</v>
      </c>
      <c r="M52" s="34">
        <v>4.0149305555555603</v>
      </c>
      <c r="N52" s="34">
        <v>4.0152083333333302</v>
      </c>
      <c r="O52" s="34">
        <v>8.9776576471632108</v>
      </c>
      <c r="P52" s="34">
        <v>8.9782787771569605</v>
      </c>
      <c r="Q52" s="34">
        <v>0.39373770849383699</v>
      </c>
      <c r="R52" s="34">
        <v>0.39373770849383699</v>
      </c>
      <c r="S52" s="34">
        <v>0.40477789451504925</v>
      </c>
      <c r="T52" s="34">
        <v>0.36430010506354438</v>
      </c>
      <c r="U52" s="34">
        <v>6.0000000000000001E-3</v>
      </c>
      <c r="V52" s="34">
        <v>0.04</v>
      </c>
      <c r="W52" s="34">
        <v>4.0000000000000001E-3</v>
      </c>
      <c r="X52" s="34">
        <v>4.95</v>
      </c>
      <c r="Y52" s="34">
        <v>4.95</v>
      </c>
      <c r="Z52" s="34">
        <v>4.9749999999999996</v>
      </c>
      <c r="AA52" s="34">
        <v>5.75</v>
      </c>
      <c r="AB52" s="35">
        <v>5</v>
      </c>
    </row>
    <row r="53" spans="1:28" x14ac:dyDescent="0.2">
      <c r="A53" s="28">
        <v>46722</v>
      </c>
      <c r="B53" s="29">
        <v>120.18</v>
      </c>
      <c r="C53" s="29">
        <v>123.24</v>
      </c>
      <c r="D53" s="29">
        <v>101.6</v>
      </c>
      <c r="E53" s="29">
        <v>104.66</v>
      </c>
      <c r="F53" s="29">
        <v>45.94</v>
      </c>
      <c r="G53" s="29">
        <v>47.44</v>
      </c>
      <c r="H53" s="29">
        <v>26.97</v>
      </c>
      <c r="I53" s="29">
        <v>28.47</v>
      </c>
      <c r="J53" s="29">
        <v>48.99</v>
      </c>
      <c r="K53" s="29">
        <v>50.55</v>
      </c>
      <c r="L53" s="30">
        <v>7.4107087767750004</v>
      </c>
      <c r="M53" s="30">
        <v>4.0149305555555603</v>
      </c>
      <c r="N53" s="30">
        <v>4.0152083333333302</v>
      </c>
      <c r="O53" s="30">
        <v>8.9776576471632108</v>
      </c>
      <c r="P53" s="30">
        <v>8.9782787771569605</v>
      </c>
      <c r="Q53" s="30">
        <v>0.39486808957680403</v>
      </c>
      <c r="R53" s="30">
        <v>0.39486808957680403</v>
      </c>
      <c r="S53" s="30">
        <v>0.40481678563011508</v>
      </c>
      <c r="T53" s="30">
        <v>0.36433510706710359</v>
      </c>
      <c r="U53" s="30">
        <v>6.0000000000000001E-3</v>
      </c>
      <c r="V53" s="30">
        <v>0.04</v>
      </c>
      <c r="W53" s="30">
        <v>4.0000000000000001E-3</v>
      </c>
      <c r="X53" s="30">
        <v>4.95</v>
      </c>
      <c r="Y53" s="30">
        <v>4.95</v>
      </c>
      <c r="Z53" s="30">
        <v>4.9749999999999996</v>
      </c>
      <c r="AA53" s="30">
        <v>5.75</v>
      </c>
      <c r="AB53" s="31">
        <v>5</v>
      </c>
    </row>
    <row r="54" spans="1:28" x14ac:dyDescent="0.2">
      <c r="A54" s="32">
        <v>46753</v>
      </c>
      <c r="B54" s="33">
        <v>97.84</v>
      </c>
      <c r="C54" s="33">
        <v>100.94</v>
      </c>
      <c r="D54" s="33">
        <v>98.28</v>
      </c>
      <c r="E54" s="33">
        <v>101.38</v>
      </c>
      <c r="F54" s="33">
        <v>-5.68</v>
      </c>
      <c r="G54" s="33">
        <v>-4.18</v>
      </c>
      <c r="H54" s="33">
        <v>-6.15</v>
      </c>
      <c r="I54" s="33">
        <v>-4.6500000000000004</v>
      </c>
      <c r="J54" s="33">
        <v>70.41</v>
      </c>
      <c r="K54" s="33">
        <v>72.010000000000005</v>
      </c>
      <c r="L54" s="34">
        <v>7.4106118392329998</v>
      </c>
      <c r="M54" s="34">
        <v>4.0149305555555603</v>
      </c>
      <c r="N54" s="34">
        <v>4.0152083333333302</v>
      </c>
      <c r="O54" s="34">
        <v>8.9776576471632108</v>
      </c>
      <c r="P54" s="34">
        <v>8.9782787771569605</v>
      </c>
      <c r="Q54" s="34">
        <v>0.38261035349698003</v>
      </c>
      <c r="R54" s="34">
        <v>0.38261035349698003</v>
      </c>
      <c r="S54" s="34">
        <v>0.40485632196325183</v>
      </c>
      <c r="T54" s="34">
        <v>0.36437068976692666</v>
      </c>
      <c r="U54" s="34">
        <v>6.0000000000000001E-3</v>
      </c>
      <c r="V54" s="34">
        <v>0.04</v>
      </c>
      <c r="W54" s="34">
        <v>4.0000000000000001E-3</v>
      </c>
      <c r="X54" s="34">
        <v>4.7</v>
      </c>
      <c r="Y54" s="34">
        <v>4.7</v>
      </c>
      <c r="Z54" s="34">
        <v>4.8499999999999996</v>
      </c>
      <c r="AA54" s="34">
        <v>5.75</v>
      </c>
      <c r="AB54" s="35">
        <v>5</v>
      </c>
    </row>
    <row r="55" spans="1:28" x14ac:dyDescent="0.2">
      <c r="A55" s="28">
        <v>46784</v>
      </c>
      <c r="B55" s="29">
        <v>98.99</v>
      </c>
      <c r="C55" s="29">
        <v>102.1</v>
      </c>
      <c r="D55" s="29">
        <v>98.26</v>
      </c>
      <c r="E55" s="29">
        <v>101.37</v>
      </c>
      <c r="F55" s="29">
        <v>-4.5199999999999996</v>
      </c>
      <c r="G55" s="29">
        <v>-3.02</v>
      </c>
      <c r="H55" s="29">
        <v>-5.09</v>
      </c>
      <c r="I55" s="29">
        <v>-3.59</v>
      </c>
      <c r="J55" s="29">
        <v>70.819999999999993</v>
      </c>
      <c r="K55" s="29">
        <v>72.430000000000007</v>
      </c>
      <c r="L55" s="30">
        <v>7.4105180287090002</v>
      </c>
      <c r="M55" s="30">
        <v>4.0149305555555603</v>
      </c>
      <c r="N55" s="30">
        <v>4.0152083333333302</v>
      </c>
      <c r="O55" s="30">
        <v>8.9776576471632108</v>
      </c>
      <c r="P55" s="30">
        <v>8.9782787771569605</v>
      </c>
      <c r="Q55" s="30">
        <v>0.38370878907074002</v>
      </c>
      <c r="R55" s="30">
        <v>0.38370878907074002</v>
      </c>
      <c r="S55" s="30">
        <v>0.40489459028448271</v>
      </c>
      <c r="T55" s="30">
        <v>0.36440513125603446</v>
      </c>
      <c r="U55" s="30">
        <v>6.0000000000000001E-3</v>
      </c>
      <c r="V55" s="30">
        <v>0.04</v>
      </c>
      <c r="W55" s="30">
        <v>4.0000000000000001E-3</v>
      </c>
      <c r="X55" s="30">
        <v>4.7</v>
      </c>
      <c r="Y55" s="30">
        <v>4.7</v>
      </c>
      <c r="Z55" s="30">
        <v>4.8499999999999996</v>
      </c>
      <c r="AA55" s="30">
        <v>5.75</v>
      </c>
      <c r="AB55" s="31">
        <v>5</v>
      </c>
    </row>
    <row r="56" spans="1:28" x14ac:dyDescent="0.2">
      <c r="A56" s="32">
        <v>46813</v>
      </c>
      <c r="B56" s="33">
        <v>89.02</v>
      </c>
      <c r="C56" s="33">
        <v>91.92</v>
      </c>
      <c r="D56" s="33">
        <v>86.85</v>
      </c>
      <c r="E56" s="33">
        <v>89.75</v>
      </c>
      <c r="F56" s="33">
        <v>-4.45</v>
      </c>
      <c r="G56" s="33">
        <v>-2.95</v>
      </c>
      <c r="H56" s="33">
        <v>-5.87</v>
      </c>
      <c r="I56" s="33">
        <v>-4.37</v>
      </c>
      <c r="J56" s="33">
        <v>61.95</v>
      </c>
      <c r="K56" s="33">
        <v>63.35</v>
      </c>
      <c r="L56" s="34">
        <v>7.4104242813140004</v>
      </c>
      <c r="M56" s="34">
        <v>4.0149305555555603</v>
      </c>
      <c r="N56" s="34">
        <v>4.0152083333333302</v>
      </c>
      <c r="O56" s="34">
        <v>8.9776576471632108</v>
      </c>
      <c r="P56" s="34">
        <v>8.9782787771569605</v>
      </c>
      <c r="Q56" s="34">
        <v>0.38481037814178098</v>
      </c>
      <c r="R56" s="34">
        <v>0.38481037814178098</v>
      </c>
      <c r="S56" s="34">
        <v>0.40493284008104879</v>
      </c>
      <c r="T56" s="34">
        <v>0.36443955607294393</v>
      </c>
      <c r="U56" s="34">
        <v>6.0000000000000001E-3</v>
      </c>
      <c r="V56" s="34">
        <v>0.04</v>
      </c>
      <c r="W56" s="34">
        <v>4.0000000000000001E-3</v>
      </c>
      <c r="X56" s="34">
        <v>4.7</v>
      </c>
      <c r="Y56" s="34">
        <v>4.7</v>
      </c>
      <c r="Z56" s="34">
        <v>4.8499999999999996</v>
      </c>
      <c r="AA56" s="34">
        <v>5.75</v>
      </c>
      <c r="AB56" s="35">
        <v>5</v>
      </c>
    </row>
    <row r="57" spans="1:28" x14ac:dyDescent="0.2">
      <c r="A57" s="28">
        <v>46844</v>
      </c>
      <c r="B57" s="29">
        <v>87.85</v>
      </c>
      <c r="C57" s="29">
        <v>90.26</v>
      </c>
      <c r="D57" s="29">
        <v>83.16</v>
      </c>
      <c r="E57" s="29">
        <v>85.57</v>
      </c>
      <c r="F57" s="29">
        <v>36.94</v>
      </c>
      <c r="G57" s="29">
        <v>38.44</v>
      </c>
      <c r="H57" s="29">
        <v>32.729999999999997</v>
      </c>
      <c r="I57" s="29">
        <v>34.229999999999997</v>
      </c>
      <c r="J57" s="29">
        <v>39.94</v>
      </c>
      <c r="K57" s="29">
        <v>40.85</v>
      </c>
      <c r="L57" s="30">
        <v>7.410328974444</v>
      </c>
      <c r="M57" s="30">
        <v>4.0149305555555603</v>
      </c>
      <c r="N57" s="30">
        <v>4.0152083333333302</v>
      </c>
      <c r="O57" s="30">
        <v>8.9776576471632108</v>
      </c>
      <c r="P57" s="30">
        <v>8.9782787771569605</v>
      </c>
      <c r="Q57" s="30">
        <v>0.38591512976347597</v>
      </c>
      <c r="R57" s="30">
        <v>0.38591512976347597</v>
      </c>
      <c r="S57" s="30">
        <v>0.40497173356669569</v>
      </c>
      <c r="T57" s="30">
        <v>0.36447456021002617</v>
      </c>
      <c r="U57" s="30">
        <v>6.0000000000000001E-3</v>
      </c>
      <c r="V57" s="30">
        <v>0.04</v>
      </c>
      <c r="W57" s="30">
        <v>4.0000000000000001E-3</v>
      </c>
      <c r="X57" s="30">
        <v>4.7</v>
      </c>
      <c r="Y57" s="30">
        <v>4.7</v>
      </c>
      <c r="Z57" s="30">
        <v>4.8499999999999996</v>
      </c>
      <c r="AA57" s="30">
        <v>5.75</v>
      </c>
      <c r="AB57" s="31">
        <v>5</v>
      </c>
    </row>
    <row r="58" spans="1:28" x14ac:dyDescent="0.2">
      <c r="A58" s="32">
        <v>46874</v>
      </c>
      <c r="B58" s="33">
        <v>87.11</v>
      </c>
      <c r="C58" s="33">
        <v>89.44</v>
      </c>
      <c r="D58" s="33">
        <v>83.11</v>
      </c>
      <c r="E58" s="33">
        <v>85.44</v>
      </c>
      <c r="F58" s="33">
        <v>38.090000000000003</v>
      </c>
      <c r="G58" s="33">
        <v>39.590000000000003</v>
      </c>
      <c r="H58" s="33">
        <v>34.03</v>
      </c>
      <c r="I58" s="33">
        <v>35.53</v>
      </c>
      <c r="J58" s="33">
        <v>36.44</v>
      </c>
      <c r="K58" s="33">
        <v>37.270000000000003</v>
      </c>
      <c r="L58" s="34">
        <v>7.4102336004109999</v>
      </c>
      <c r="M58" s="34">
        <v>4.0149305555555603</v>
      </c>
      <c r="N58" s="34">
        <v>4.0152083333333302</v>
      </c>
      <c r="O58" s="34">
        <v>8.9776576471632108</v>
      </c>
      <c r="P58" s="34">
        <v>8.9782787771569605</v>
      </c>
      <c r="Q58" s="34">
        <v>0.38702305301518602</v>
      </c>
      <c r="R58" s="34">
        <v>0.38702305301518602</v>
      </c>
      <c r="S58" s="34">
        <v>0.40501066194063612</v>
      </c>
      <c r="T58" s="34">
        <v>0.36450959574657249</v>
      </c>
      <c r="U58" s="34">
        <v>6.0000000000000001E-3</v>
      </c>
      <c r="V58" s="34">
        <v>0.04</v>
      </c>
      <c r="W58" s="34">
        <v>4.0000000000000001E-3</v>
      </c>
      <c r="X58" s="34">
        <v>4.7</v>
      </c>
      <c r="Y58" s="34">
        <v>4.7</v>
      </c>
      <c r="Z58" s="34">
        <v>4.8499999999999996</v>
      </c>
      <c r="AA58" s="34">
        <v>5.75</v>
      </c>
      <c r="AB58" s="35">
        <v>5</v>
      </c>
    </row>
    <row r="59" spans="1:28" x14ac:dyDescent="0.2">
      <c r="A59" s="28">
        <v>46905</v>
      </c>
      <c r="B59" s="29">
        <v>91.96</v>
      </c>
      <c r="C59" s="29">
        <v>94.26</v>
      </c>
      <c r="D59" s="29">
        <v>88.31</v>
      </c>
      <c r="E59" s="29">
        <v>90.61</v>
      </c>
      <c r="F59" s="29">
        <v>41.95</v>
      </c>
      <c r="G59" s="29">
        <v>43.45</v>
      </c>
      <c r="H59" s="29">
        <v>37.869999999999997</v>
      </c>
      <c r="I59" s="29">
        <v>39.369999999999997</v>
      </c>
      <c r="J59" s="29">
        <v>35.29</v>
      </c>
      <c r="K59" s="29">
        <v>36.090000000000003</v>
      </c>
      <c r="L59" s="30">
        <v>7.4101382263779998</v>
      </c>
      <c r="M59" s="30">
        <v>4.0149305555555603</v>
      </c>
      <c r="N59" s="30">
        <v>4.0152083333333302</v>
      </c>
      <c r="O59" s="30">
        <v>8.9776576471632108</v>
      </c>
      <c r="P59" s="30">
        <v>8.9782787771569605</v>
      </c>
      <c r="Q59" s="30">
        <v>0.388134157002341</v>
      </c>
      <c r="R59" s="30">
        <v>0.388134157002341</v>
      </c>
      <c r="S59" s="30">
        <v>0.4050495977993655</v>
      </c>
      <c r="T59" s="30">
        <v>0.36454463801942893</v>
      </c>
      <c r="U59" s="30">
        <v>6.0000000000000001E-3</v>
      </c>
      <c r="V59" s="30">
        <v>0.04</v>
      </c>
      <c r="W59" s="30">
        <v>4.0000000000000001E-3</v>
      </c>
      <c r="X59" s="30">
        <v>4.7</v>
      </c>
      <c r="Y59" s="30">
        <v>4.7</v>
      </c>
      <c r="Z59" s="30">
        <v>4.8499999999999996</v>
      </c>
      <c r="AA59" s="30">
        <v>5.75</v>
      </c>
      <c r="AB59" s="31">
        <v>5</v>
      </c>
    </row>
    <row r="60" spans="1:28" x14ac:dyDescent="0.2">
      <c r="A60" s="32">
        <v>46935</v>
      </c>
      <c r="B60" s="33">
        <v>81.48</v>
      </c>
      <c r="C60" s="33">
        <v>83.47</v>
      </c>
      <c r="D60" s="33">
        <v>78.569999999999993</v>
      </c>
      <c r="E60" s="33">
        <v>80.56</v>
      </c>
      <c r="F60" s="33">
        <v>44.15</v>
      </c>
      <c r="G60" s="33">
        <v>45.65</v>
      </c>
      <c r="H60" s="33">
        <v>41.76</v>
      </c>
      <c r="I60" s="33">
        <v>43.26</v>
      </c>
      <c r="J60" s="33">
        <v>21.68</v>
      </c>
      <c r="K60" s="33">
        <v>22.17</v>
      </c>
      <c r="L60" s="34">
        <v>7.4100428523449997</v>
      </c>
      <c r="M60" s="34">
        <v>4.0149305555555603</v>
      </c>
      <c r="N60" s="34">
        <v>4.0152083333333302</v>
      </c>
      <c r="O60" s="34">
        <v>8.9776576471632108</v>
      </c>
      <c r="P60" s="34">
        <v>8.9782787771569605</v>
      </c>
      <c r="Q60" s="34">
        <v>0.389248450856508</v>
      </c>
      <c r="R60" s="34">
        <v>0.389248450856508</v>
      </c>
      <c r="S60" s="34">
        <v>0.40508854114504267</v>
      </c>
      <c r="T60" s="34">
        <v>0.36457968703053845</v>
      </c>
      <c r="U60" s="34">
        <v>6.0000000000000001E-3</v>
      </c>
      <c r="V60" s="34">
        <v>0.04</v>
      </c>
      <c r="W60" s="34">
        <v>4.0000000000000001E-3</v>
      </c>
      <c r="X60" s="34">
        <v>4.7</v>
      </c>
      <c r="Y60" s="34">
        <v>4.7</v>
      </c>
      <c r="Z60" s="34">
        <v>4.8499999999999996</v>
      </c>
      <c r="AA60" s="34">
        <v>5.75</v>
      </c>
      <c r="AB60" s="35">
        <v>5</v>
      </c>
    </row>
    <row r="61" spans="1:28" x14ac:dyDescent="0.2">
      <c r="A61" s="28">
        <v>46966</v>
      </c>
      <c r="B61" s="29">
        <v>88.42</v>
      </c>
      <c r="C61" s="29">
        <v>90.49</v>
      </c>
      <c r="D61" s="29">
        <v>87.47</v>
      </c>
      <c r="E61" s="29">
        <v>89.54</v>
      </c>
      <c r="F61" s="29">
        <v>45.44</v>
      </c>
      <c r="G61" s="29">
        <v>46.94</v>
      </c>
      <c r="H61" s="29">
        <v>44.13</v>
      </c>
      <c r="I61" s="29">
        <v>45.63</v>
      </c>
      <c r="J61" s="29">
        <v>25.25</v>
      </c>
      <c r="K61" s="29">
        <v>25.82</v>
      </c>
      <c r="L61" s="30">
        <v>7.4099459148040001</v>
      </c>
      <c r="M61" s="30">
        <v>4.0149305555555603</v>
      </c>
      <c r="N61" s="30">
        <v>4.0152083333333302</v>
      </c>
      <c r="O61" s="30">
        <v>8.9776576471632108</v>
      </c>
      <c r="P61" s="30">
        <v>8.9782787771569605</v>
      </c>
      <c r="Q61" s="30">
        <v>0.39036594373547501</v>
      </c>
      <c r="R61" s="30">
        <v>0.39036594373547501</v>
      </c>
      <c r="S61" s="30">
        <v>0.40512813058051966</v>
      </c>
      <c r="T61" s="30">
        <v>0.36461531752246773</v>
      </c>
      <c r="U61" s="30">
        <v>6.0000000000000001E-3</v>
      </c>
      <c r="V61" s="30">
        <v>0.04</v>
      </c>
      <c r="W61" s="30">
        <v>4.0000000000000001E-3</v>
      </c>
      <c r="X61" s="30">
        <v>4.7</v>
      </c>
      <c r="Y61" s="30">
        <v>4.7</v>
      </c>
      <c r="Z61" s="30">
        <v>4.8499999999999996</v>
      </c>
      <c r="AA61" s="30">
        <v>5.75</v>
      </c>
      <c r="AB61" s="31">
        <v>5</v>
      </c>
    </row>
    <row r="62" spans="1:28" x14ac:dyDescent="0.2">
      <c r="A62" s="32">
        <v>46997</v>
      </c>
      <c r="B62" s="33">
        <v>92.35</v>
      </c>
      <c r="C62" s="33">
        <v>94.52</v>
      </c>
      <c r="D62" s="33">
        <v>91.12</v>
      </c>
      <c r="E62" s="33">
        <v>93.29</v>
      </c>
      <c r="F62" s="33">
        <v>44.88</v>
      </c>
      <c r="G62" s="33">
        <v>46.38</v>
      </c>
      <c r="H62" s="33">
        <v>43.48</v>
      </c>
      <c r="I62" s="33">
        <v>44.98</v>
      </c>
      <c r="J62" s="33">
        <v>29.61</v>
      </c>
      <c r="K62" s="33">
        <v>30.28</v>
      </c>
      <c r="L62" s="34">
        <v>7.409850540771</v>
      </c>
      <c r="M62" s="34">
        <v>4.0149305555555603</v>
      </c>
      <c r="N62" s="34">
        <v>4.0152083333333302</v>
      </c>
      <c r="O62" s="34">
        <v>8.9776576471632108</v>
      </c>
      <c r="P62" s="34">
        <v>8.9782787771569605</v>
      </c>
      <c r="Q62" s="34">
        <v>0.39148664482331602</v>
      </c>
      <c r="R62" s="34">
        <v>0.39148664482331602</v>
      </c>
      <c r="S62" s="34">
        <v>0.4051670890293434</v>
      </c>
      <c r="T62" s="34">
        <v>0.3646503801264091</v>
      </c>
      <c r="U62" s="34">
        <v>6.0000000000000001E-3</v>
      </c>
      <c r="V62" s="34">
        <v>0.04</v>
      </c>
      <c r="W62" s="34">
        <v>4.0000000000000001E-3</v>
      </c>
      <c r="X62" s="34">
        <v>4.7</v>
      </c>
      <c r="Y62" s="34">
        <v>4.7</v>
      </c>
      <c r="Z62" s="34">
        <v>4.8499999999999996</v>
      </c>
      <c r="AA62" s="34">
        <v>5.75</v>
      </c>
      <c r="AB62" s="35">
        <v>5</v>
      </c>
    </row>
    <row r="63" spans="1:28" x14ac:dyDescent="0.2">
      <c r="A63" s="28">
        <v>47027</v>
      </c>
      <c r="B63" s="29">
        <v>110.86</v>
      </c>
      <c r="C63" s="29">
        <v>113.32</v>
      </c>
      <c r="D63" s="29">
        <v>85.12</v>
      </c>
      <c r="E63" s="29">
        <v>87.58</v>
      </c>
      <c r="F63" s="29">
        <v>44.65</v>
      </c>
      <c r="G63" s="29">
        <v>46.15</v>
      </c>
      <c r="H63" s="29">
        <v>19.38</v>
      </c>
      <c r="I63" s="29">
        <v>20.88</v>
      </c>
      <c r="J63" s="29">
        <v>42.36</v>
      </c>
      <c r="K63" s="29">
        <v>43.32</v>
      </c>
      <c r="L63" s="30">
        <v>7.4097551037780001</v>
      </c>
      <c r="M63" s="30">
        <v>4.0149305555555603</v>
      </c>
      <c r="N63" s="30">
        <v>4.0152083333333302</v>
      </c>
      <c r="O63" s="30">
        <v>8.9776576471632108</v>
      </c>
      <c r="P63" s="30">
        <v>8.9782787771569605</v>
      </c>
      <c r="Q63" s="30">
        <v>0.392610563330475</v>
      </c>
      <c r="R63" s="30">
        <v>0.392610563330475</v>
      </c>
      <c r="S63" s="30">
        <v>0.40520608069711839</v>
      </c>
      <c r="T63" s="30">
        <v>0.36468547262740658</v>
      </c>
      <c r="U63" s="30">
        <v>6.0000000000000001E-3</v>
      </c>
      <c r="V63" s="30">
        <v>0.04</v>
      </c>
      <c r="W63" s="30">
        <v>4.0000000000000001E-3</v>
      </c>
      <c r="X63" s="30">
        <v>4.7</v>
      </c>
      <c r="Y63" s="30">
        <v>4.7</v>
      </c>
      <c r="Z63" s="30">
        <v>4.8499999999999996</v>
      </c>
      <c r="AA63" s="30">
        <v>5.75</v>
      </c>
      <c r="AB63" s="31">
        <v>5</v>
      </c>
    </row>
    <row r="64" spans="1:28" x14ac:dyDescent="0.2">
      <c r="A64" s="32">
        <v>47058</v>
      </c>
      <c r="B64" s="33">
        <v>114.91</v>
      </c>
      <c r="C64" s="33">
        <v>117.47</v>
      </c>
      <c r="D64" s="33">
        <v>90.27</v>
      </c>
      <c r="E64" s="33">
        <v>92.83</v>
      </c>
      <c r="F64" s="33">
        <v>43.87</v>
      </c>
      <c r="G64" s="33">
        <v>45.37</v>
      </c>
      <c r="H64" s="33">
        <v>19.149999999999999</v>
      </c>
      <c r="I64" s="33">
        <v>20.65</v>
      </c>
      <c r="J64" s="33">
        <v>46.83</v>
      </c>
      <c r="K64" s="33">
        <v>47.89</v>
      </c>
      <c r="L64" s="34">
        <v>7.4096596624120004</v>
      </c>
      <c r="M64" s="34">
        <v>4.0149305555555603</v>
      </c>
      <c r="N64" s="34">
        <v>4.0152083333333302</v>
      </c>
      <c r="O64" s="34">
        <v>8.9776576471632108</v>
      </c>
      <c r="P64" s="34">
        <v>8.9782787771569605</v>
      </c>
      <c r="Q64" s="34">
        <v>0.39373770849383699</v>
      </c>
      <c r="R64" s="34">
        <v>0.39373770849383699</v>
      </c>
      <c r="S64" s="34">
        <v>0.40524508165722878</v>
      </c>
      <c r="T64" s="34">
        <v>0.36472057349150588</v>
      </c>
      <c r="U64" s="34">
        <v>6.0000000000000001E-3</v>
      </c>
      <c r="V64" s="34">
        <v>0.04</v>
      </c>
      <c r="W64" s="34">
        <v>4.0000000000000001E-3</v>
      </c>
      <c r="X64" s="34">
        <v>4.7</v>
      </c>
      <c r="Y64" s="34">
        <v>4.7</v>
      </c>
      <c r="Z64" s="34">
        <v>4.8499999999999996</v>
      </c>
      <c r="AA64" s="34">
        <v>5.75</v>
      </c>
      <c r="AB64" s="35">
        <v>5</v>
      </c>
    </row>
    <row r="65" spans="1:28" x14ac:dyDescent="0.2">
      <c r="A65" s="36">
        <v>47088</v>
      </c>
      <c r="B65" s="37">
        <v>115.91</v>
      </c>
      <c r="C65" s="37">
        <v>118.52</v>
      </c>
      <c r="D65" s="37">
        <v>91.6</v>
      </c>
      <c r="E65" s="37">
        <v>94.21</v>
      </c>
      <c r="F65" s="37">
        <v>41.67</v>
      </c>
      <c r="G65" s="37">
        <v>43.17</v>
      </c>
      <c r="H65" s="37">
        <v>16.97</v>
      </c>
      <c r="I65" s="37">
        <v>18.47</v>
      </c>
      <c r="J65" s="37">
        <v>48.99</v>
      </c>
      <c r="K65" s="37">
        <v>50.1</v>
      </c>
      <c r="L65" s="38">
        <v>7.4095642883800004</v>
      </c>
      <c r="M65" s="38">
        <v>4.0149305555555603</v>
      </c>
      <c r="N65" s="38">
        <v>4.0152083333333302</v>
      </c>
      <c r="O65" s="38">
        <v>8.9776576471632108</v>
      </c>
      <c r="P65" s="38">
        <v>8.9782787771569605</v>
      </c>
      <c r="Q65" s="38">
        <v>0.39486808957680403</v>
      </c>
      <c r="R65" s="38">
        <v>0.39486808957680403</v>
      </c>
      <c r="S65" s="38">
        <v>0.40528406260317884</v>
      </c>
      <c r="T65" s="38">
        <v>0.364755656342861</v>
      </c>
      <c r="U65" s="38">
        <v>6.0000000000000001E-3</v>
      </c>
      <c r="V65" s="38">
        <v>0.04</v>
      </c>
      <c r="W65" s="38">
        <v>4.0000000000000001E-3</v>
      </c>
      <c r="X65" s="38">
        <v>4.7</v>
      </c>
      <c r="Y65" s="38">
        <v>4.7</v>
      </c>
      <c r="Z65" s="38">
        <v>4.8499999999999996</v>
      </c>
      <c r="AA65" s="38">
        <v>5.75</v>
      </c>
      <c r="AB65" s="39">
        <v>5</v>
      </c>
    </row>
  </sheetData>
  <mergeCells count="17">
    <mergeCell ref="W1:W2"/>
    <mergeCell ref="B1:C1"/>
    <mergeCell ref="D1:E1"/>
    <mergeCell ref="F1:G1"/>
    <mergeCell ref="H1:I1"/>
    <mergeCell ref="J1:K1"/>
    <mergeCell ref="M1:N1"/>
    <mergeCell ref="O1:P1"/>
    <mergeCell ref="Q1:R1"/>
    <mergeCell ref="S1:T1"/>
    <mergeCell ref="U1:U2"/>
    <mergeCell ref="V1:V2"/>
    <mergeCell ref="X1:X2"/>
    <mergeCell ref="Y1:Y2"/>
    <mergeCell ref="Z1:Z2"/>
    <mergeCell ref="AA1:AA2"/>
    <mergeCell ref="AB1:AB2"/>
  </mergeCells>
  <pageMargins left="0.7" right="0.7" top="0.75" bottom="0.75" header="0.3" footer="0.3"/>
  <headerFooter>
    <oddHeader>&amp;R&amp;"Arial Black"&amp;10&amp;K4099DA INTERNAL&amp;1#_x000D_</oddHeader>
    <oddFooter>&amp;L_x000D_&amp;1#&amp;"Calibri"&amp;10&amp;K000000 Internal - General Use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4D90-DC30-4539-84E6-1DB41A5404AE}">
  <dimension ref="A1:Q66"/>
  <sheetViews>
    <sheetView topLeftCell="A16" workbookViewId="0">
      <selection activeCell="K23" sqref="K23"/>
    </sheetView>
  </sheetViews>
  <sheetFormatPr defaultRowHeight="12.75" x14ac:dyDescent="0.2"/>
  <cols>
    <col min="1" max="2" width="10.140625" bestFit="1" customWidth="1"/>
    <col min="3" max="3" width="14.7109375" customWidth="1"/>
    <col min="4" max="5" width="12" bestFit="1" customWidth="1"/>
    <col min="10" max="10" width="11.28515625" bestFit="1" customWidth="1"/>
    <col min="13" max="13" width="12.28515625" bestFit="1" customWidth="1"/>
    <col min="14" max="14" width="19" bestFit="1" customWidth="1"/>
    <col min="15" max="15" width="11.5703125" bestFit="1" customWidth="1"/>
    <col min="16" max="16" width="10.28515625" bestFit="1" customWidth="1"/>
    <col min="17" max="17" width="11.85546875" bestFit="1" customWidth="1"/>
  </cols>
  <sheetData>
    <row r="1" spans="1:3" x14ac:dyDescent="0.2">
      <c r="B1" t="s">
        <v>68</v>
      </c>
      <c r="C1" t="s">
        <v>69</v>
      </c>
    </row>
    <row r="2" spans="1:3" x14ac:dyDescent="0.2">
      <c r="A2" s="28">
        <v>46023</v>
      </c>
      <c r="B2" s="70">
        <v>0.88700000000000001</v>
      </c>
    </row>
    <row r="3" spans="1:3" x14ac:dyDescent="0.2">
      <c r="A3" s="32">
        <v>46054</v>
      </c>
      <c r="B3" s="71">
        <v>0.89800000000000002</v>
      </c>
    </row>
    <row r="4" spans="1:3" x14ac:dyDescent="0.2">
      <c r="A4" s="28">
        <v>46082</v>
      </c>
      <c r="B4" s="70">
        <v>0.88700000000000001</v>
      </c>
    </row>
    <row r="5" spans="1:3" x14ac:dyDescent="0.2">
      <c r="A5" s="32">
        <v>46113</v>
      </c>
      <c r="B5" s="71">
        <v>0.88500000000000001</v>
      </c>
    </row>
    <row r="6" spans="1:3" x14ac:dyDescent="0.2">
      <c r="A6" s="28">
        <v>46143</v>
      </c>
      <c r="B6" s="70">
        <v>0.89500000000000002</v>
      </c>
    </row>
    <row r="7" spans="1:3" x14ac:dyDescent="0.2">
      <c r="A7" s="32">
        <v>46174</v>
      </c>
      <c r="B7" s="71">
        <v>0.88600000000000001</v>
      </c>
    </row>
    <row r="8" spans="1:3" x14ac:dyDescent="0.2">
      <c r="A8" s="28">
        <v>46204</v>
      </c>
      <c r="B8" s="70">
        <v>0.89200000000000002</v>
      </c>
    </row>
    <row r="9" spans="1:3" x14ac:dyDescent="0.2">
      <c r="A9" s="32">
        <v>46235</v>
      </c>
      <c r="B9" s="71">
        <v>0.88200000000000001</v>
      </c>
    </row>
    <row r="10" spans="1:3" x14ac:dyDescent="0.2">
      <c r="A10" s="28">
        <v>46266</v>
      </c>
      <c r="B10" s="70">
        <v>0.88100000000000001</v>
      </c>
    </row>
    <row r="11" spans="1:3" x14ac:dyDescent="0.2">
      <c r="A11" s="32">
        <v>46296</v>
      </c>
      <c r="B11" s="71">
        <v>0.88900000000000001</v>
      </c>
    </row>
    <row r="12" spans="1:3" x14ac:dyDescent="0.2">
      <c r="A12" s="28">
        <v>46327</v>
      </c>
      <c r="B12" s="70">
        <v>0.88600000000000001</v>
      </c>
    </row>
    <row r="13" spans="1:3" x14ac:dyDescent="0.2">
      <c r="A13" s="32">
        <v>46357</v>
      </c>
      <c r="B13" s="71">
        <v>0.89200000000000002</v>
      </c>
    </row>
    <row r="19" spans="1:17" x14ac:dyDescent="0.2">
      <c r="A19" s="1"/>
      <c r="B19" s="69" t="s">
        <v>0</v>
      </c>
      <c r="C19" s="68" t="s">
        <v>2</v>
      </c>
      <c r="D19" s="68" t="s">
        <v>4</v>
      </c>
      <c r="E19" s="2" t="s">
        <v>5</v>
      </c>
      <c r="F19" s="72" t="s">
        <v>0</v>
      </c>
      <c r="G19" s="73" t="s">
        <v>70</v>
      </c>
      <c r="I19" s="73" t="s">
        <v>21</v>
      </c>
      <c r="J19" s="74" t="s">
        <v>71</v>
      </c>
      <c r="K19" s="75" t="s">
        <v>72</v>
      </c>
    </row>
    <row r="20" spans="1:17" x14ac:dyDescent="0.2">
      <c r="A20" s="1"/>
      <c r="B20" s="4" t="s">
        <v>19</v>
      </c>
      <c r="C20" s="4" t="s">
        <v>19</v>
      </c>
      <c r="D20" s="4" t="s">
        <v>19</v>
      </c>
      <c r="E20" s="6" t="s">
        <v>20</v>
      </c>
      <c r="F20" s="76" t="s">
        <v>19</v>
      </c>
      <c r="G20" s="76" t="s">
        <v>19</v>
      </c>
      <c r="I20" s="75" t="s">
        <v>19</v>
      </c>
      <c r="J20" s="77" t="s">
        <v>73</v>
      </c>
      <c r="K20" s="75" t="s">
        <v>74</v>
      </c>
      <c r="N20" s="94" t="s">
        <v>75</v>
      </c>
      <c r="O20" s="98" t="s">
        <v>76</v>
      </c>
      <c r="P20" s="100" t="s">
        <v>77</v>
      </c>
      <c r="Q20" s="100" t="s">
        <v>78</v>
      </c>
    </row>
    <row r="21" spans="1:17" ht="21.75" customHeight="1" x14ac:dyDescent="0.2">
      <c r="A21" s="1"/>
      <c r="B21" s="8" t="s">
        <v>23</v>
      </c>
      <c r="C21" s="8" t="s">
        <v>23</v>
      </c>
      <c r="D21" s="8" t="s">
        <v>23</v>
      </c>
      <c r="E21" s="9" t="s">
        <v>24</v>
      </c>
      <c r="F21" s="8" t="s">
        <v>79</v>
      </c>
      <c r="G21" s="8" t="s">
        <v>79</v>
      </c>
      <c r="I21" s="8" t="s">
        <v>79</v>
      </c>
      <c r="J21" s="8" t="s">
        <v>80</v>
      </c>
      <c r="K21" s="8" t="s">
        <v>79</v>
      </c>
      <c r="N21" s="97"/>
      <c r="O21" s="99"/>
      <c r="P21" s="100"/>
      <c r="Q21" s="100"/>
    </row>
    <row r="22" spans="1:17" ht="13.5" thickBot="1" x14ac:dyDescent="0.25">
      <c r="A22" s="17" t="s">
        <v>33</v>
      </c>
      <c r="B22" s="19">
        <v>1571091</v>
      </c>
      <c r="C22" s="19">
        <v>1571171</v>
      </c>
      <c r="D22" s="19">
        <v>1571231</v>
      </c>
      <c r="E22" s="21">
        <v>1573061</v>
      </c>
      <c r="F22" s="19">
        <v>1571091</v>
      </c>
      <c r="G22" s="19">
        <v>1571171</v>
      </c>
      <c r="H22" t="s">
        <v>68</v>
      </c>
      <c r="K22" s="78">
        <f>SUMPRODUCT(I23:I34,J23:J34)/SUM(J23:J34)</f>
        <v>62.611240559787454</v>
      </c>
      <c r="M22" s="17" t="s">
        <v>33</v>
      </c>
      <c r="N22" s="19">
        <v>1573071</v>
      </c>
      <c r="Q22" s="79">
        <f>SUM(P23:P34)/SUM(N23:N34)</f>
        <v>440823.15300198487</v>
      </c>
    </row>
    <row r="23" spans="1:17" ht="13.5" thickTop="1" x14ac:dyDescent="0.2">
      <c r="A23" s="28">
        <v>46023</v>
      </c>
      <c r="B23" s="29">
        <v>149.57</v>
      </c>
      <c r="C23" s="29">
        <v>32.729999999999997</v>
      </c>
      <c r="D23" s="29">
        <v>54.62</v>
      </c>
      <c r="E23" s="30">
        <v>7.4454708580469999</v>
      </c>
      <c r="F23" s="80">
        <f>B23*E23/10</f>
        <v>111.36190762380897</v>
      </c>
      <c r="G23" s="80">
        <f>(C23+D23)*E23/10</f>
        <v>65.036187945040538</v>
      </c>
      <c r="H23" s="70">
        <v>0.88700000000000001</v>
      </c>
      <c r="I23" s="80">
        <f>G23*H23+(1-H23)*F23</f>
        <v>70.270994268741376</v>
      </c>
      <c r="J23" s="81">
        <v>520705.75982402486</v>
      </c>
      <c r="M23" s="28">
        <v>46023</v>
      </c>
      <c r="N23" s="30">
        <v>3.0000000000000001E-3</v>
      </c>
      <c r="O23" s="81">
        <v>520705.75982402486</v>
      </c>
      <c r="P23" s="79">
        <f>N23*O23</f>
        <v>1562.1172794720746</v>
      </c>
    </row>
    <row r="24" spans="1:17" x14ac:dyDescent="0.2">
      <c r="A24" s="32">
        <v>46054</v>
      </c>
      <c r="B24" s="33">
        <v>120.13</v>
      </c>
      <c r="C24" s="33">
        <v>31.08</v>
      </c>
      <c r="D24" s="33">
        <v>58.56</v>
      </c>
      <c r="E24" s="34">
        <v>7.4433830618099996</v>
      </c>
      <c r="F24" s="80">
        <f t="shared" ref="F24:F34" si="0">B24*E24/10</f>
        <v>89.417360721523522</v>
      </c>
      <c r="G24" s="80">
        <f t="shared" ref="G24:G34" si="1">(C24+D24)*E24/10</f>
        <v>66.722485766064835</v>
      </c>
      <c r="H24" s="71">
        <v>0.89800000000000002</v>
      </c>
      <c r="I24" s="80">
        <f t="shared" ref="I24:I34" si="2">G24*H24+(1-H24)*F24</f>
        <v>69.03736301152162</v>
      </c>
      <c r="J24" s="81">
        <v>447753.30353671964</v>
      </c>
      <c r="M24" s="32">
        <v>46054</v>
      </c>
      <c r="N24" s="30">
        <v>2E-3</v>
      </c>
      <c r="O24" s="81">
        <v>447753.30353671964</v>
      </c>
      <c r="P24" s="79">
        <f t="shared" ref="P24:P34" si="3">N24*O24</f>
        <v>895.50660707343934</v>
      </c>
    </row>
    <row r="25" spans="1:17" x14ac:dyDescent="0.2">
      <c r="A25" s="28">
        <v>46082</v>
      </c>
      <c r="B25" s="29">
        <v>91.43</v>
      </c>
      <c r="C25" s="29">
        <v>29.18</v>
      </c>
      <c r="D25" s="29">
        <v>53.33</v>
      </c>
      <c r="E25" s="30">
        <v>7.4417883625499996</v>
      </c>
      <c r="F25" s="80">
        <f t="shared" si="0"/>
        <v>68.040270998794654</v>
      </c>
      <c r="G25" s="80">
        <f t="shared" si="1"/>
        <v>61.402195779400039</v>
      </c>
      <c r="H25" s="70">
        <v>0.88700000000000001</v>
      </c>
      <c r="I25" s="80">
        <f t="shared" si="2"/>
        <v>62.152298279191626</v>
      </c>
      <c r="J25" s="81">
        <v>480643.70671103906</v>
      </c>
      <c r="M25" s="28">
        <v>46082</v>
      </c>
      <c r="N25" s="30">
        <v>0.01</v>
      </c>
      <c r="O25" s="81">
        <v>480643.70671103906</v>
      </c>
      <c r="P25" s="79">
        <f t="shared" si="3"/>
        <v>4806.4370671103907</v>
      </c>
    </row>
    <row r="26" spans="1:17" x14ac:dyDescent="0.2">
      <c r="A26" s="32">
        <v>46113</v>
      </c>
      <c r="B26" s="33">
        <v>84.56</v>
      </c>
      <c r="C26" s="33">
        <v>40.43</v>
      </c>
      <c r="D26" s="33">
        <v>41.64</v>
      </c>
      <c r="E26" s="34">
        <v>7.4402822610149997</v>
      </c>
      <c r="F26" s="80">
        <f t="shared" si="0"/>
        <v>62.915026799142836</v>
      </c>
      <c r="G26" s="80">
        <f t="shared" si="1"/>
        <v>61.062396516150102</v>
      </c>
      <c r="H26" s="71">
        <v>0.88500000000000001</v>
      </c>
      <c r="I26" s="80">
        <f t="shared" si="2"/>
        <v>61.275448998694266</v>
      </c>
      <c r="J26" s="81">
        <v>346808.79541463964</v>
      </c>
      <c r="M26" s="32">
        <v>46113</v>
      </c>
      <c r="N26" s="30">
        <v>7.0000000000000001E-3</v>
      </c>
      <c r="O26" s="81">
        <v>346808.79541463964</v>
      </c>
      <c r="P26" s="79">
        <f t="shared" si="3"/>
        <v>2427.6615679024776</v>
      </c>
    </row>
    <row r="27" spans="1:17" x14ac:dyDescent="0.2">
      <c r="A27" s="28">
        <v>46143</v>
      </c>
      <c r="B27" s="29">
        <v>81.17</v>
      </c>
      <c r="C27" s="29">
        <v>50.3</v>
      </c>
      <c r="D27" s="29">
        <v>27.14</v>
      </c>
      <c r="E27" s="30">
        <v>7.4388117292239997</v>
      </c>
      <c r="F27" s="80">
        <f t="shared" si="0"/>
        <v>60.380834806111203</v>
      </c>
      <c r="G27" s="80">
        <f t="shared" si="1"/>
        <v>57.606158031110645</v>
      </c>
      <c r="H27" s="70">
        <v>0.89500000000000002</v>
      </c>
      <c r="I27" s="80">
        <f t="shared" si="2"/>
        <v>57.897499092485702</v>
      </c>
      <c r="J27" s="81">
        <v>425547.17797083431</v>
      </c>
      <c r="M27" s="28">
        <v>46143</v>
      </c>
      <c r="N27" s="30">
        <v>6.0000000000000001E-3</v>
      </c>
      <c r="O27" s="81">
        <v>425547.17797083431</v>
      </c>
      <c r="P27" s="79">
        <f t="shared" si="3"/>
        <v>2553.2830678250061</v>
      </c>
    </row>
    <row r="28" spans="1:17" x14ac:dyDescent="0.2">
      <c r="A28" s="32">
        <v>46174</v>
      </c>
      <c r="B28" s="33">
        <v>87.96</v>
      </c>
      <c r="C28" s="33">
        <v>63.76</v>
      </c>
      <c r="D28" s="33">
        <v>19.57</v>
      </c>
      <c r="E28" s="34">
        <v>7.4376682943220001</v>
      </c>
      <c r="F28" s="80">
        <f t="shared" si="0"/>
        <v>65.421730316856298</v>
      </c>
      <c r="G28" s="80">
        <f t="shared" si="1"/>
        <v>61.978089896585217</v>
      </c>
      <c r="H28" s="71">
        <v>0.88600000000000001</v>
      </c>
      <c r="I28" s="80">
        <f t="shared" si="2"/>
        <v>62.370664904496124</v>
      </c>
      <c r="J28" s="81">
        <v>432809.72437893931</v>
      </c>
      <c r="M28" s="32">
        <v>46174</v>
      </c>
      <c r="N28" s="30">
        <v>5.0000000000000001E-3</v>
      </c>
      <c r="O28" s="81">
        <v>432809.72437893931</v>
      </c>
      <c r="P28" s="79">
        <f t="shared" si="3"/>
        <v>2164.0486218946967</v>
      </c>
    </row>
    <row r="29" spans="1:17" x14ac:dyDescent="0.2">
      <c r="A29" s="28">
        <v>46204</v>
      </c>
      <c r="B29" s="29">
        <v>88.21</v>
      </c>
      <c r="C29" s="29">
        <v>65.19</v>
      </c>
      <c r="D29" s="29">
        <v>18.920000000000002</v>
      </c>
      <c r="E29" s="30">
        <v>7.4366051660499997</v>
      </c>
      <c r="F29" s="80">
        <f t="shared" si="0"/>
        <v>65.598294169727041</v>
      </c>
      <c r="G29" s="80">
        <f t="shared" si="1"/>
        <v>62.549286051646547</v>
      </c>
      <c r="H29" s="70">
        <v>0.89200000000000002</v>
      </c>
      <c r="I29" s="80">
        <f t="shared" si="2"/>
        <v>62.878578928399243</v>
      </c>
      <c r="J29" s="81">
        <v>420145.8499211162</v>
      </c>
      <c r="M29" s="28">
        <v>46204</v>
      </c>
      <c r="N29" s="30">
        <v>4.0000000000000001E-3</v>
      </c>
      <c r="O29" s="81">
        <v>420145.8499211162</v>
      </c>
      <c r="P29" s="79">
        <f t="shared" si="3"/>
        <v>1680.5833996844649</v>
      </c>
    </row>
    <row r="30" spans="1:17" x14ac:dyDescent="0.2">
      <c r="A30" s="32">
        <v>46235</v>
      </c>
      <c r="B30" s="33">
        <v>91.88</v>
      </c>
      <c r="C30" s="33">
        <v>62.8</v>
      </c>
      <c r="D30" s="33">
        <v>23.26</v>
      </c>
      <c r="E30" s="34">
        <v>7.4355246094450003</v>
      </c>
      <c r="F30" s="80">
        <f t="shared" si="0"/>
        <v>68.31760011158066</v>
      </c>
      <c r="G30" s="80">
        <f t="shared" si="1"/>
        <v>63.990124788883676</v>
      </c>
      <c r="H30" s="71">
        <v>0.88200000000000001</v>
      </c>
      <c r="I30" s="80">
        <f t="shared" si="2"/>
        <v>64.500766876961919</v>
      </c>
      <c r="J30" s="81">
        <v>394123.85088368889</v>
      </c>
      <c r="M30" s="32">
        <v>46235</v>
      </c>
      <c r="N30" s="30">
        <v>8.0000000000000002E-3</v>
      </c>
      <c r="O30" s="81">
        <v>394123.85088368889</v>
      </c>
      <c r="P30" s="79">
        <f t="shared" si="3"/>
        <v>3152.990807069511</v>
      </c>
    </row>
    <row r="31" spans="1:17" x14ac:dyDescent="0.2">
      <c r="A31" s="28">
        <v>46266</v>
      </c>
      <c r="B31" s="29">
        <v>104.67</v>
      </c>
      <c r="C31" s="29">
        <v>64.02</v>
      </c>
      <c r="D31" s="29">
        <v>28.77</v>
      </c>
      <c r="E31" s="30">
        <v>7.4344614811729999</v>
      </c>
      <c r="F31" s="80">
        <f t="shared" si="0"/>
        <v>77.816508323437787</v>
      </c>
      <c r="G31" s="80">
        <f t="shared" si="1"/>
        <v>68.984368083804256</v>
      </c>
      <c r="H31" s="70">
        <v>0.88100000000000001</v>
      </c>
      <c r="I31" s="80">
        <f t="shared" si="2"/>
        <v>70.035392772320648</v>
      </c>
      <c r="J31" s="81">
        <v>437016.2052536452</v>
      </c>
      <c r="M31" s="28">
        <v>46266</v>
      </c>
      <c r="N31" s="30">
        <v>8.9999999999999993E-3</v>
      </c>
      <c r="O31" s="81">
        <v>437016.2052536452</v>
      </c>
      <c r="P31" s="79">
        <f t="shared" si="3"/>
        <v>3933.1458472828062</v>
      </c>
    </row>
    <row r="32" spans="1:17" x14ac:dyDescent="0.2">
      <c r="A32" s="32">
        <v>46296</v>
      </c>
      <c r="B32" s="33">
        <v>85.31</v>
      </c>
      <c r="C32" s="33">
        <v>29.05</v>
      </c>
      <c r="D32" s="33">
        <v>35.65</v>
      </c>
      <c r="E32" s="34">
        <v>7.4333976510889999</v>
      </c>
      <c r="F32" s="80">
        <f t="shared" si="0"/>
        <v>63.414315361440266</v>
      </c>
      <c r="G32" s="80">
        <f t="shared" si="1"/>
        <v>48.094082802545827</v>
      </c>
      <c r="H32" s="71">
        <v>0.88900000000000001</v>
      </c>
      <c r="I32" s="80">
        <f t="shared" si="2"/>
        <v>49.794628616583104</v>
      </c>
      <c r="J32" s="81">
        <v>471247.05387345981</v>
      </c>
      <c r="M32" s="32">
        <v>46296</v>
      </c>
      <c r="N32" s="30">
        <v>1E-3</v>
      </c>
      <c r="O32" s="81">
        <v>471247.05387345981</v>
      </c>
      <c r="P32" s="79">
        <f t="shared" si="3"/>
        <v>471.24705387345983</v>
      </c>
    </row>
    <row r="33" spans="1:16" x14ac:dyDescent="0.2">
      <c r="A33" s="28">
        <v>46327</v>
      </c>
      <c r="B33" s="29">
        <v>105</v>
      </c>
      <c r="C33" s="29">
        <v>33.47</v>
      </c>
      <c r="D33" s="29">
        <v>43.68</v>
      </c>
      <c r="E33" s="30">
        <v>7.4323337722679996</v>
      </c>
      <c r="F33" s="80">
        <f t="shared" si="0"/>
        <v>78.039504608813985</v>
      </c>
      <c r="G33" s="80">
        <f t="shared" si="1"/>
        <v>57.34045505304762</v>
      </c>
      <c r="H33" s="70">
        <v>0.88600000000000001</v>
      </c>
      <c r="I33" s="80">
        <f t="shared" si="2"/>
        <v>59.700146702404986</v>
      </c>
      <c r="J33" s="81">
        <v>452693.46752984327</v>
      </c>
      <c r="M33" s="28">
        <v>46327</v>
      </c>
      <c r="N33" s="30">
        <v>1.2E-2</v>
      </c>
      <c r="O33" s="81">
        <v>452693.46752984327</v>
      </c>
      <c r="P33" s="79">
        <f t="shared" si="3"/>
        <v>5432.321610358119</v>
      </c>
    </row>
    <row r="34" spans="1:16" x14ac:dyDescent="0.2">
      <c r="A34" s="32">
        <v>46357</v>
      </c>
      <c r="B34" s="33">
        <v>109.26</v>
      </c>
      <c r="C34" s="33">
        <v>25.97</v>
      </c>
      <c r="D34" s="33">
        <v>52.67</v>
      </c>
      <c r="E34" s="34">
        <v>7.4312706439960001</v>
      </c>
      <c r="F34" s="80">
        <f t="shared" si="0"/>
        <v>81.194063056300294</v>
      </c>
      <c r="G34" s="80">
        <f t="shared" si="1"/>
        <v>58.439512344384546</v>
      </c>
      <c r="H34" s="71">
        <v>0.89200000000000002</v>
      </c>
      <c r="I34" s="80">
        <f t="shared" si="2"/>
        <v>60.89700382127144</v>
      </c>
      <c r="J34" s="81">
        <v>475885.33158556453</v>
      </c>
      <c r="M34" s="32">
        <v>46357</v>
      </c>
      <c r="N34" s="30">
        <v>1.2999999999999999E-2</v>
      </c>
      <c r="O34" s="81">
        <v>475885.33158556453</v>
      </c>
      <c r="P34" s="79">
        <f t="shared" si="3"/>
        <v>6186.5093106123386</v>
      </c>
    </row>
    <row r="37" spans="1:16" x14ac:dyDescent="0.2">
      <c r="F37" t="s">
        <v>81</v>
      </c>
    </row>
    <row r="38" spans="1:16" x14ac:dyDescent="0.2">
      <c r="G38" t="s">
        <v>82</v>
      </c>
    </row>
    <row r="39" spans="1:16" x14ac:dyDescent="0.2">
      <c r="I39" t="s">
        <v>83</v>
      </c>
    </row>
    <row r="42" spans="1:16" x14ac:dyDescent="0.2">
      <c r="D42" s="82"/>
    </row>
    <row r="43" spans="1:16" x14ac:dyDescent="0.2">
      <c r="D43" s="82"/>
    </row>
    <row r="44" spans="1:16" x14ac:dyDescent="0.2">
      <c r="D44" s="82"/>
    </row>
    <row r="45" spans="1:16" x14ac:dyDescent="0.2">
      <c r="D45" s="82"/>
    </row>
    <row r="46" spans="1:16" x14ac:dyDescent="0.2">
      <c r="D46" s="82"/>
    </row>
    <row r="47" spans="1:16" ht="30" x14ac:dyDescent="0.2">
      <c r="B47" s="83" t="s">
        <v>84</v>
      </c>
      <c r="D47" s="82"/>
    </row>
    <row r="48" spans="1:16" ht="15" x14ac:dyDescent="0.3">
      <c r="B48" s="84" t="s">
        <v>85</v>
      </c>
      <c r="D48" s="82"/>
    </row>
    <row r="49" spans="2:6" x14ac:dyDescent="0.2">
      <c r="D49" s="82"/>
    </row>
    <row r="50" spans="2:6" x14ac:dyDescent="0.2">
      <c r="D50" s="82"/>
    </row>
    <row r="51" spans="2:6" x14ac:dyDescent="0.2">
      <c r="D51" s="82"/>
    </row>
    <row r="52" spans="2:6" ht="25.5" customHeight="1" x14ac:dyDescent="0.2">
      <c r="C52" s="92" t="s">
        <v>9</v>
      </c>
      <c r="D52" s="98" t="s">
        <v>76</v>
      </c>
      <c r="E52" s="100" t="s">
        <v>86</v>
      </c>
      <c r="F52" s="100" t="s">
        <v>78</v>
      </c>
    </row>
    <row r="53" spans="2:6" x14ac:dyDescent="0.2">
      <c r="C53" s="101"/>
      <c r="D53" s="99"/>
      <c r="E53" s="100"/>
      <c r="F53" s="100"/>
    </row>
    <row r="54" spans="2:6" x14ac:dyDescent="0.2">
      <c r="B54" t="s">
        <v>87</v>
      </c>
      <c r="C54" s="85">
        <v>1573081</v>
      </c>
      <c r="F54">
        <f>SUM(E55:E66)/SUM(C55:C66)</f>
        <v>455003.64197999029</v>
      </c>
    </row>
    <row r="55" spans="2:6" x14ac:dyDescent="0.2">
      <c r="B55" s="28">
        <v>46023</v>
      </c>
      <c r="C55" s="85">
        <v>0.36</v>
      </c>
      <c r="D55">
        <v>520705.75982402486</v>
      </c>
      <c r="E55">
        <f>C55*D55</f>
        <v>187454.07353664894</v>
      </c>
    </row>
    <row r="56" spans="2:6" x14ac:dyDescent="0.2">
      <c r="B56" s="32">
        <v>46054</v>
      </c>
      <c r="C56" s="85">
        <v>0.26</v>
      </c>
      <c r="D56">
        <v>447753.30353671964</v>
      </c>
      <c r="E56">
        <f t="shared" ref="E56:E66" si="4">C56*D56</f>
        <v>116415.85891954711</v>
      </c>
    </row>
    <row r="57" spans="2:6" x14ac:dyDescent="0.2">
      <c r="B57" s="28">
        <v>46082</v>
      </c>
      <c r="C57" s="85">
        <v>0.87</v>
      </c>
      <c r="D57">
        <v>480643.70671103906</v>
      </c>
      <c r="E57">
        <f t="shared" si="4"/>
        <v>418160.02483860397</v>
      </c>
    </row>
    <row r="58" spans="2:6" x14ac:dyDescent="0.2">
      <c r="B58" s="32">
        <v>46113</v>
      </c>
      <c r="C58" s="85">
        <v>0.03</v>
      </c>
      <c r="D58">
        <v>346808.79541463964</v>
      </c>
      <c r="E58">
        <f t="shared" si="4"/>
        <v>10404.263862439189</v>
      </c>
    </row>
    <row r="59" spans="2:6" x14ac:dyDescent="0.2">
      <c r="B59" s="28">
        <v>46143</v>
      </c>
      <c r="C59" s="85">
        <v>0.02</v>
      </c>
      <c r="D59">
        <v>425547.17797083431</v>
      </c>
      <c r="E59">
        <f t="shared" si="4"/>
        <v>8510.9435594166862</v>
      </c>
    </row>
    <row r="60" spans="2:6" x14ac:dyDescent="0.2">
      <c r="B60" s="32">
        <v>46174</v>
      </c>
      <c r="C60" s="85">
        <v>0.53</v>
      </c>
      <c r="D60">
        <v>432809.72437893931</v>
      </c>
      <c r="E60">
        <f t="shared" si="4"/>
        <v>229389.15392083785</v>
      </c>
    </row>
    <row r="61" spans="2:6" x14ac:dyDescent="0.2">
      <c r="B61" s="28">
        <v>46204</v>
      </c>
      <c r="C61" s="85">
        <v>0.73</v>
      </c>
      <c r="D61">
        <v>420145.8499211162</v>
      </c>
      <c r="E61">
        <f t="shared" si="4"/>
        <v>306706.47044241481</v>
      </c>
    </row>
    <row r="62" spans="2:6" x14ac:dyDescent="0.2">
      <c r="B62" s="32">
        <v>46235</v>
      </c>
      <c r="C62" s="85">
        <v>0.13</v>
      </c>
      <c r="D62">
        <v>394123.85088368889</v>
      </c>
      <c r="E62">
        <f t="shared" si="4"/>
        <v>51236.100614879557</v>
      </c>
    </row>
    <row r="63" spans="2:6" x14ac:dyDescent="0.2">
      <c r="B63" s="28">
        <v>46266</v>
      </c>
      <c r="C63" s="85">
        <v>0.54</v>
      </c>
      <c r="D63">
        <v>437016.2052536452</v>
      </c>
      <c r="E63">
        <f t="shared" si="4"/>
        <v>235988.75083696842</v>
      </c>
    </row>
    <row r="64" spans="2:6" x14ac:dyDescent="0.2">
      <c r="B64" s="32">
        <v>46296</v>
      </c>
      <c r="C64" s="85">
        <v>0.34</v>
      </c>
      <c r="D64">
        <v>471247.05387345981</v>
      </c>
      <c r="E64">
        <f t="shared" si="4"/>
        <v>160223.99831697636</v>
      </c>
    </row>
    <row r="65" spans="2:5" x14ac:dyDescent="0.2">
      <c r="B65" s="28">
        <v>46327</v>
      </c>
      <c r="C65" s="85">
        <v>0.23</v>
      </c>
      <c r="D65">
        <v>452693.46752984327</v>
      </c>
      <c r="E65">
        <f t="shared" si="4"/>
        <v>104119.49753186396</v>
      </c>
    </row>
    <row r="66" spans="2:5" x14ac:dyDescent="0.2">
      <c r="B66" s="32">
        <v>46357</v>
      </c>
      <c r="C66" s="85">
        <v>0.46</v>
      </c>
      <c r="D66">
        <v>475885.33158556453</v>
      </c>
      <c r="E66">
        <f t="shared" si="4"/>
        <v>218907.25252935968</v>
      </c>
    </row>
  </sheetData>
  <mergeCells count="8">
    <mergeCell ref="N20:N21"/>
    <mergeCell ref="O20:O21"/>
    <mergeCell ref="P20:P21"/>
    <mergeCell ref="Q20:Q21"/>
    <mergeCell ref="C52:C53"/>
    <mergeCell ref="D52:D53"/>
    <mergeCell ref="E52:E53"/>
    <mergeCell ref="F52:F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E9F9-850C-45FE-A55B-39990BBF0898}">
  <dimension ref="A1:AN65"/>
  <sheetViews>
    <sheetView tabSelected="1" workbookViewId="0">
      <selection activeCell="A6" sqref="A6:A65"/>
    </sheetView>
  </sheetViews>
  <sheetFormatPr defaultRowHeight="12.75" x14ac:dyDescent="0.2"/>
  <cols>
    <col min="1" max="36" width="12.5703125" customWidth="1"/>
    <col min="38" max="40" width="14.28515625" customWidth="1"/>
  </cols>
  <sheetData>
    <row r="1" spans="1:40" x14ac:dyDescent="0.2">
      <c r="A1" s="40"/>
      <c r="B1" s="41" t="s">
        <v>88</v>
      </c>
      <c r="C1" s="42"/>
      <c r="D1" s="43" t="s">
        <v>34</v>
      </c>
      <c r="E1" s="42"/>
      <c r="F1" s="43" t="s">
        <v>35</v>
      </c>
      <c r="G1" s="42"/>
      <c r="H1" s="110" t="s">
        <v>36</v>
      </c>
      <c r="I1" s="110" t="s">
        <v>37</v>
      </c>
      <c r="J1" s="110" t="s">
        <v>38</v>
      </c>
      <c r="K1" s="110" t="s">
        <v>39</v>
      </c>
      <c r="L1" s="110" t="s">
        <v>40</v>
      </c>
      <c r="M1" s="110" t="s">
        <v>41</v>
      </c>
      <c r="N1" s="110" t="s">
        <v>42</v>
      </c>
      <c r="O1" s="110" t="s">
        <v>43</v>
      </c>
      <c r="P1" s="110" t="s">
        <v>44</v>
      </c>
      <c r="Q1" s="110" t="s">
        <v>45</v>
      </c>
      <c r="R1" s="110" t="s">
        <v>46</v>
      </c>
      <c r="S1" s="110" t="s">
        <v>47</v>
      </c>
      <c r="T1" s="112" t="s">
        <v>48</v>
      </c>
      <c r="U1" s="44" t="s">
        <v>5</v>
      </c>
      <c r="V1" s="107" t="s">
        <v>36</v>
      </c>
      <c r="W1" s="107" t="s">
        <v>37</v>
      </c>
      <c r="X1" s="105" t="s">
        <v>38</v>
      </c>
      <c r="Y1" s="107" t="s">
        <v>49</v>
      </c>
      <c r="Z1" s="105" t="s">
        <v>46</v>
      </c>
      <c r="AA1" s="105" t="s">
        <v>42</v>
      </c>
      <c r="AB1" s="105" t="s">
        <v>43</v>
      </c>
      <c r="AC1" s="105" t="s">
        <v>44</v>
      </c>
      <c r="AD1" s="105" t="s">
        <v>50</v>
      </c>
      <c r="AE1" s="107" t="s">
        <v>47</v>
      </c>
      <c r="AF1" s="45" t="s">
        <v>5</v>
      </c>
      <c r="AG1" s="102" t="s">
        <v>51</v>
      </c>
      <c r="AH1" s="102" t="s">
        <v>52</v>
      </c>
      <c r="AI1" s="102" t="s">
        <v>53</v>
      </c>
      <c r="AJ1" s="102" t="s">
        <v>54</v>
      </c>
    </row>
    <row r="2" spans="1:40" x14ac:dyDescent="0.2">
      <c r="A2" s="40"/>
      <c r="B2" s="46" t="s">
        <v>18</v>
      </c>
      <c r="C2" s="47" t="s">
        <v>19</v>
      </c>
      <c r="D2" s="48" t="s">
        <v>18</v>
      </c>
      <c r="E2" s="47" t="s">
        <v>19</v>
      </c>
      <c r="F2" s="48" t="s">
        <v>18</v>
      </c>
      <c r="G2" s="47" t="s">
        <v>19</v>
      </c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3"/>
      <c r="U2" s="49" t="s">
        <v>20</v>
      </c>
      <c r="V2" s="108"/>
      <c r="W2" s="108"/>
      <c r="X2" s="106"/>
      <c r="Y2" s="108"/>
      <c r="Z2" s="106"/>
      <c r="AA2" s="106"/>
      <c r="AB2" s="106"/>
      <c r="AC2" s="106"/>
      <c r="AD2" s="106"/>
      <c r="AE2" s="108"/>
      <c r="AF2" s="50" t="s">
        <v>20</v>
      </c>
      <c r="AG2" s="103"/>
      <c r="AH2" s="103"/>
      <c r="AI2" s="109"/>
      <c r="AJ2" s="103"/>
      <c r="AL2" s="104" t="s">
        <v>67</v>
      </c>
      <c r="AM2" s="104"/>
      <c r="AN2" s="104"/>
    </row>
    <row r="3" spans="1:40" ht="13.5" customHeight="1" x14ac:dyDescent="0.2">
      <c r="A3" s="40"/>
      <c r="B3" s="51" t="s">
        <v>23</v>
      </c>
      <c r="C3" s="51" t="s">
        <v>23</v>
      </c>
      <c r="D3" s="51" t="s">
        <v>23</v>
      </c>
      <c r="E3" s="51" t="s">
        <v>23</v>
      </c>
      <c r="F3" s="51" t="s">
        <v>23</v>
      </c>
      <c r="G3" s="51" t="s">
        <v>23</v>
      </c>
      <c r="H3" s="51" t="s">
        <v>55</v>
      </c>
      <c r="I3" s="51" t="s">
        <v>55</v>
      </c>
      <c r="J3" s="51" t="s">
        <v>55</v>
      </c>
      <c r="K3" s="52" t="s">
        <v>55</v>
      </c>
      <c r="L3" s="51" t="s">
        <v>55</v>
      </c>
      <c r="M3" s="51" t="s">
        <v>55</v>
      </c>
      <c r="N3" s="51" t="s">
        <v>55</v>
      </c>
      <c r="O3" s="51" t="s">
        <v>55</v>
      </c>
      <c r="P3" s="52" t="s">
        <v>55</v>
      </c>
      <c r="Q3" s="52" t="s">
        <v>55</v>
      </c>
      <c r="R3" s="52" t="s">
        <v>55</v>
      </c>
      <c r="S3" s="52" t="s">
        <v>55</v>
      </c>
      <c r="T3" s="53" t="s">
        <v>55</v>
      </c>
      <c r="U3" s="52" t="s">
        <v>24</v>
      </c>
      <c r="V3" s="9" t="s">
        <v>56</v>
      </c>
      <c r="W3" s="9" t="s">
        <v>56</v>
      </c>
      <c r="X3" s="9" t="s">
        <v>56</v>
      </c>
      <c r="Y3" s="9" t="s">
        <v>56</v>
      </c>
      <c r="Z3" s="9" t="s">
        <v>56</v>
      </c>
      <c r="AA3" s="9" t="s">
        <v>56</v>
      </c>
      <c r="AB3" s="9" t="s">
        <v>56</v>
      </c>
      <c r="AC3" s="9" t="s">
        <v>56</v>
      </c>
      <c r="AD3" s="9" t="s">
        <v>56</v>
      </c>
      <c r="AE3" s="9" t="s">
        <v>56</v>
      </c>
      <c r="AF3" s="9" t="s">
        <v>57</v>
      </c>
      <c r="AG3" s="51" t="s">
        <v>55</v>
      </c>
      <c r="AH3" s="51" t="s">
        <v>55</v>
      </c>
      <c r="AI3" s="9" t="s">
        <v>56</v>
      </c>
      <c r="AJ3" s="9" t="s">
        <v>56</v>
      </c>
      <c r="AL3" s="110" t="s">
        <v>64</v>
      </c>
      <c r="AM3" s="107" t="s">
        <v>65</v>
      </c>
      <c r="AN3" s="102" t="s">
        <v>66</v>
      </c>
    </row>
    <row r="4" spans="1:40" ht="15" customHeight="1" x14ac:dyDescent="0.2">
      <c r="A4" s="40"/>
      <c r="B4" s="55" t="s">
        <v>18</v>
      </c>
      <c r="C4" s="55" t="s">
        <v>19</v>
      </c>
      <c r="D4" s="55" t="s">
        <v>18</v>
      </c>
      <c r="E4" s="55" t="s">
        <v>19</v>
      </c>
      <c r="F4" s="55" t="s">
        <v>18</v>
      </c>
      <c r="G4" s="55" t="s">
        <v>19</v>
      </c>
      <c r="H4" s="55" t="s">
        <v>26</v>
      </c>
      <c r="I4" s="55" t="s">
        <v>27</v>
      </c>
      <c r="J4" s="55" t="s">
        <v>58</v>
      </c>
      <c r="K4" s="55" t="s">
        <v>59</v>
      </c>
      <c r="L4" s="55" t="s">
        <v>59</v>
      </c>
      <c r="M4" s="55" t="s">
        <v>59</v>
      </c>
      <c r="N4" s="55" t="s">
        <v>28</v>
      </c>
      <c r="O4" s="55" t="s">
        <v>28</v>
      </c>
      <c r="P4" s="55" t="s">
        <v>28</v>
      </c>
      <c r="Q4" s="55" t="s">
        <v>28</v>
      </c>
      <c r="R4" s="55" t="s">
        <v>60</v>
      </c>
      <c r="S4" s="55" t="s">
        <v>29</v>
      </c>
      <c r="T4" s="55" t="s">
        <v>61</v>
      </c>
      <c r="U4" s="55" t="s">
        <v>25</v>
      </c>
      <c r="V4" s="54" t="s">
        <v>26</v>
      </c>
      <c r="W4" s="54" t="s">
        <v>27</v>
      </c>
      <c r="X4" s="54" t="s">
        <v>58</v>
      </c>
      <c r="Y4" s="54" t="s">
        <v>59</v>
      </c>
      <c r="Z4" s="54" t="s">
        <v>60</v>
      </c>
      <c r="AA4" s="54" t="s">
        <v>62</v>
      </c>
      <c r="AB4" s="54" t="s">
        <v>28</v>
      </c>
      <c r="AC4" s="54" t="s">
        <v>28</v>
      </c>
      <c r="AD4" s="54" t="s">
        <v>63</v>
      </c>
      <c r="AE4" s="54" t="s">
        <v>29</v>
      </c>
      <c r="AF4" s="56" t="s">
        <v>25</v>
      </c>
      <c r="AG4" s="57" t="s">
        <v>19</v>
      </c>
      <c r="AH4" s="57" t="s">
        <v>19</v>
      </c>
      <c r="AI4" s="57" t="s">
        <v>19</v>
      </c>
      <c r="AJ4" s="57" t="s">
        <v>19</v>
      </c>
      <c r="AL4" s="111"/>
      <c r="AM4" s="108"/>
      <c r="AN4" s="103"/>
    </row>
    <row r="5" spans="1:40" x14ac:dyDescent="0.2">
      <c r="A5" s="58" t="s">
        <v>33</v>
      </c>
      <c r="B5" s="59">
        <v>1571601</v>
      </c>
      <c r="C5" s="59">
        <v>1571601</v>
      </c>
      <c r="D5" s="59">
        <v>1571481</v>
      </c>
      <c r="E5" s="59">
        <v>1571481</v>
      </c>
      <c r="F5" s="59">
        <v>1571491</v>
      </c>
      <c r="G5" s="59">
        <v>1571491</v>
      </c>
      <c r="H5" s="59">
        <v>1570041</v>
      </c>
      <c r="I5" s="59">
        <v>1570041</v>
      </c>
      <c r="J5" s="59">
        <v>1570041</v>
      </c>
      <c r="K5" s="59">
        <v>1575451</v>
      </c>
      <c r="L5" s="59">
        <v>1575441</v>
      </c>
      <c r="M5" s="59">
        <v>1570041</v>
      </c>
      <c r="N5" s="59">
        <v>1575441</v>
      </c>
      <c r="O5" s="59">
        <v>1570621</v>
      </c>
      <c r="P5" s="59">
        <v>1575451</v>
      </c>
      <c r="Q5" s="59">
        <v>1570641</v>
      </c>
      <c r="R5" s="59">
        <v>1570041</v>
      </c>
      <c r="S5" s="59">
        <v>1575441</v>
      </c>
      <c r="T5" s="59">
        <v>1575461</v>
      </c>
      <c r="U5" s="59">
        <v>1567553</v>
      </c>
      <c r="V5" s="59">
        <v>1570051</v>
      </c>
      <c r="W5" s="59">
        <v>1570051</v>
      </c>
      <c r="X5" s="59">
        <v>1570051</v>
      </c>
      <c r="Y5" s="59">
        <v>1570051</v>
      </c>
      <c r="Z5" s="59">
        <v>1570051</v>
      </c>
      <c r="AA5" s="59">
        <v>1570051</v>
      </c>
      <c r="AB5" s="59">
        <v>1570051</v>
      </c>
      <c r="AC5" s="59">
        <v>1584191</v>
      </c>
      <c r="AD5" s="59">
        <v>1570051</v>
      </c>
      <c r="AE5" s="59">
        <v>1570051</v>
      </c>
      <c r="AF5" s="59">
        <v>1567513</v>
      </c>
      <c r="AG5" s="59">
        <v>1604911</v>
      </c>
      <c r="AH5" s="59">
        <v>1604941</v>
      </c>
      <c r="AI5" s="59">
        <v>1604921</v>
      </c>
      <c r="AJ5" s="59">
        <v>1604931</v>
      </c>
    </row>
    <row r="6" spans="1:40" x14ac:dyDescent="0.2">
      <c r="A6" s="24">
        <v>45292</v>
      </c>
      <c r="B6" s="25">
        <v>35.03</v>
      </c>
      <c r="C6" s="25">
        <v>35.19</v>
      </c>
      <c r="D6" s="25">
        <v>32.21</v>
      </c>
      <c r="E6" s="25">
        <v>32.369999999999997</v>
      </c>
      <c r="F6" s="25">
        <v>31.73</v>
      </c>
      <c r="G6" s="25">
        <v>31.82</v>
      </c>
      <c r="H6" s="60">
        <v>60</v>
      </c>
      <c r="I6" s="60">
        <v>94.868329805051388</v>
      </c>
      <c r="J6" s="60">
        <v>25.556456312128933</v>
      </c>
      <c r="K6" s="60">
        <v>4.9829936175289902</v>
      </c>
      <c r="L6" s="60">
        <v>0</v>
      </c>
      <c r="M6" s="60">
        <v>0.5</v>
      </c>
      <c r="N6" s="60">
        <v>7</v>
      </c>
      <c r="O6" s="60">
        <v>7</v>
      </c>
      <c r="P6" s="60">
        <v>7</v>
      </c>
      <c r="Q6" s="60">
        <v>7</v>
      </c>
      <c r="R6" s="60">
        <v>8.3820305296907607E-2</v>
      </c>
      <c r="S6" s="60">
        <v>3.0050350793548395</v>
      </c>
      <c r="T6" s="60">
        <v>0.27179965326029276</v>
      </c>
      <c r="U6" s="60">
        <v>7.4524869968000003</v>
      </c>
      <c r="V6" s="60">
        <v>274.59328437311501</v>
      </c>
      <c r="W6" s="60">
        <v>108.54252610067047</v>
      </c>
      <c r="X6" s="60">
        <v>3.4447886277103255</v>
      </c>
      <c r="Y6" s="60">
        <v>0</v>
      </c>
      <c r="Z6" s="60">
        <v>1.1298250076223161E-2</v>
      </c>
      <c r="AA6" s="60">
        <v>0.97696628268169583</v>
      </c>
      <c r="AB6" s="60">
        <v>0.97696628268169583</v>
      </c>
      <c r="AC6" s="60">
        <v>0.97696628268169583</v>
      </c>
      <c r="AD6" s="60">
        <v>0.05</v>
      </c>
      <c r="AE6" s="60">
        <v>0.40505266226285402</v>
      </c>
      <c r="AF6" s="60">
        <v>11.049836627238999</v>
      </c>
      <c r="AG6" s="25">
        <v>235.55969949225374</v>
      </c>
      <c r="AH6" s="25">
        <v>430.34945099546354</v>
      </c>
      <c r="AI6" s="25">
        <v>31.751404187155114</v>
      </c>
      <c r="AJ6" s="61">
        <v>58.007373034225694</v>
      </c>
    </row>
    <row r="7" spans="1:40" x14ac:dyDescent="0.2">
      <c r="A7" s="28">
        <v>45323</v>
      </c>
      <c r="B7" s="29">
        <v>35.4</v>
      </c>
      <c r="C7" s="29">
        <v>35.47</v>
      </c>
      <c r="D7" s="29">
        <v>32.909999999999997</v>
      </c>
      <c r="E7" s="29">
        <v>32.97</v>
      </c>
      <c r="F7" s="29">
        <v>32.33</v>
      </c>
      <c r="G7" s="29">
        <v>32.380000000000003</v>
      </c>
      <c r="H7" s="62">
        <v>60</v>
      </c>
      <c r="I7" s="62">
        <v>94.868329805051388</v>
      </c>
      <c r="J7" s="62">
        <v>22.605296166853485</v>
      </c>
      <c r="K7" s="62">
        <v>3.5956552460662206</v>
      </c>
      <c r="L7" s="62">
        <v>0</v>
      </c>
      <c r="M7" s="62">
        <v>0.5</v>
      </c>
      <c r="N7" s="62">
        <v>7</v>
      </c>
      <c r="O7" s="62">
        <v>7</v>
      </c>
      <c r="P7" s="62">
        <v>7</v>
      </c>
      <c r="Q7" s="62">
        <v>7</v>
      </c>
      <c r="R7" s="62">
        <v>8.3793426180876998E-2</v>
      </c>
      <c r="S7" s="62">
        <v>3.0040657947625009</v>
      </c>
      <c r="T7" s="62">
        <v>0.27171198332994201</v>
      </c>
      <c r="U7" s="62">
        <v>7.4500831710110003</v>
      </c>
      <c r="V7" s="62">
        <v>274.59328437311501</v>
      </c>
      <c r="W7" s="62">
        <v>108.54252610067047</v>
      </c>
      <c r="X7" s="62">
        <v>3.0479854661594326</v>
      </c>
      <c r="Y7" s="62">
        <v>0</v>
      </c>
      <c r="Z7" s="62">
        <v>1.1298287945362463E-2</v>
      </c>
      <c r="AA7" s="62">
        <v>0.97696772185081482</v>
      </c>
      <c r="AB7" s="62">
        <v>0.97696772185081482</v>
      </c>
      <c r="AC7" s="62">
        <v>0.97696772185081482</v>
      </c>
      <c r="AD7" s="62">
        <v>0.05</v>
      </c>
      <c r="AE7" s="62">
        <v>0.40505325894596722</v>
      </c>
      <c r="AF7" s="62">
        <v>11.049852905097</v>
      </c>
      <c r="AG7" s="29">
        <v>235.48371888594991</v>
      </c>
      <c r="AH7" s="29">
        <v>430.21064027240845</v>
      </c>
      <c r="AI7" s="29">
        <v>31.751450960151477</v>
      </c>
      <c r="AJ7" s="63">
        <v>58.007458484892126</v>
      </c>
    </row>
    <row r="8" spans="1:40" x14ac:dyDescent="0.2">
      <c r="A8" s="32">
        <v>45352</v>
      </c>
      <c r="B8" s="33">
        <v>34.380000000000003</v>
      </c>
      <c r="C8" s="33">
        <v>34.450000000000003</v>
      </c>
      <c r="D8" s="33">
        <v>33.020000000000003</v>
      </c>
      <c r="E8" s="33">
        <v>33.090000000000003</v>
      </c>
      <c r="F8" s="33">
        <v>32.39</v>
      </c>
      <c r="G8" s="33">
        <v>32.44</v>
      </c>
      <c r="H8" s="64">
        <v>60</v>
      </c>
      <c r="I8" s="64">
        <v>94.868329805051388</v>
      </c>
      <c r="J8" s="64">
        <v>12.377182571556983</v>
      </c>
      <c r="K8" s="64">
        <v>3.0874925883672266</v>
      </c>
      <c r="L8" s="64">
        <v>0</v>
      </c>
      <c r="M8" s="64">
        <v>0.5</v>
      </c>
      <c r="N8" s="64">
        <v>7</v>
      </c>
      <c r="O8" s="64">
        <v>7</v>
      </c>
      <c r="P8" s="64">
        <v>7</v>
      </c>
      <c r="Q8" s="64">
        <v>7</v>
      </c>
      <c r="R8" s="64">
        <v>8.0775065912604901E-2</v>
      </c>
      <c r="S8" s="64">
        <v>3.0031252618451618</v>
      </c>
      <c r="T8" s="64">
        <v>0.27162691393339206</v>
      </c>
      <c r="U8" s="64">
        <v>7.4477506493760002</v>
      </c>
      <c r="V8" s="64">
        <v>274.59328437311501</v>
      </c>
      <c r="W8" s="64">
        <v>108.54252610067047</v>
      </c>
      <c r="X8" s="64">
        <v>1.6695246460864788</v>
      </c>
      <c r="Y8" s="64">
        <v>0</v>
      </c>
      <c r="Z8" s="64">
        <v>1.0895529958820456E-2</v>
      </c>
      <c r="AA8" s="64">
        <v>0.97704050655132257</v>
      </c>
      <c r="AB8" s="64">
        <v>0.97704050655132257</v>
      </c>
      <c r="AC8" s="64">
        <v>0.97704050655132257</v>
      </c>
      <c r="AD8" s="64">
        <v>0.05</v>
      </c>
      <c r="AE8" s="64">
        <v>0.40508343566468852</v>
      </c>
      <c r="AF8" s="64">
        <v>11.050676139997</v>
      </c>
      <c r="AG8" s="33">
        <v>235.40999207560648</v>
      </c>
      <c r="AH8" s="33">
        <v>430.07594706120409</v>
      </c>
      <c r="AI8" s="33">
        <v>31.753816462917982</v>
      </c>
      <c r="AJ8" s="65">
        <v>58.011780076484776</v>
      </c>
    </row>
    <row r="9" spans="1:40" x14ac:dyDescent="0.2">
      <c r="A9" s="28">
        <v>45383</v>
      </c>
      <c r="B9" s="29">
        <v>33.380000000000003</v>
      </c>
      <c r="C9" s="29">
        <v>33.51</v>
      </c>
      <c r="D9" s="29">
        <v>32.85</v>
      </c>
      <c r="E9" s="29">
        <v>32.979999999999997</v>
      </c>
      <c r="F9" s="29">
        <v>32.14</v>
      </c>
      <c r="G9" s="29">
        <v>32.19</v>
      </c>
      <c r="H9" s="62">
        <v>60</v>
      </c>
      <c r="I9" s="62">
        <v>94.868329805051388</v>
      </c>
      <c r="J9" s="62">
        <v>4.818760801758037</v>
      </c>
      <c r="K9" s="62">
        <v>8.3272731148629191</v>
      </c>
      <c r="L9" s="62">
        <v>0</v>
      </c>
      <c r="M9" s="62">
        <v>0.5</v>
      </c>
      <c r="N9" s="62">
        <v>7</v>
      </c>
      <c r="O9" s="62">
        <v>7</v>
      </c>
      <c r="P9" s="62">
        <v>7</v>
      </c>
      <c r="Q9" s="62">
        <v>7</v>
      </c>
      <c r="R9" s="62">
        <v>7.9860084177882304E-2</v>
      </c>
      <c r="S9" s="62">
        <v>2.0014540542005377</v>
      </c>
      <c r="T9" s="62">
        <v>0.2715415146159818</v>
      </c>
      <c r="U9" s="62">
        <v>7.4454090816259999</v>
      </c>
      <c r="V9" s="62">
        <v>274.59328437311501</v>
      </c>
      <c r="W9" s="62">
        <v>108.54252610067047</v>
      </c>
      <c r="X9" s="62">
        <v>0.65029348776137574</v>
      </c>
      <c r="Y9" s="62">
        <v>0</v>
      </c>
      <c r="Z9" s="62">
        <v>1.0777146853185784E-2</v>
      </c>
      <c r="AA9" s="62">
        <v>0.97718997823236109</v>
      </c>
      <c r="AB9" s="62">
        <v>0.97718997823236109</v>
      </c>
      <c r="AC9" s="62">
        <v>0.97718997823236109</v>
      </c>
      <c r="AD9" s="62">
        <v>0.05</v>
      </c>
      <c r="AE9" s="62">
        <v>0.2700969379981204</v>
      </c>
      <c r="AF9" s="62">
        <v>11.052366732246</v>
      </c>
      <c r="AG9" s="29">
        <v>235.33597933385093</v>
      </c>
      <c r="AH9" s="29">
        <v>429.94073147530452</v>
      </c>
      <c r="AI9" s="29">
        <v>31.758674292551735</v>
      </c>
      <c r="AJ9" s="63">
        <v>58.020654957546434</v>
      </c>
    </row>
    <row r="10" spans="1:40" x14ac:dyDescent="0.2">
      <c r="A10" s="32">
        <v>45413</v>
      </c>
      <c r="B10" s="33">
        <v>33.26</v>
      </c>
      <c r="C10" s="33">
        <v>33.39</v>
      </c>
      <c r="D10" s="33">
        <v>32.71</v>
      </c>
      <c r="E10" s="33">
        <v>32.840000000000003</v>
      </c>
      <c r="F10" s="33">
        <v>32.08</v>
      </c>
      <c r="G10" s="33">
        <v>32.14</v>
      </c>
      <c r="H10" s="64">
        <v>60</v>
      </c>
      <c r="I10" s="64">
        <v>94.868329805051388</v>
      </c>
      <c r="J10" s="64">
        <v>4.9769521346686556</v>
      </c>
      <c r="K10" s="64">
        <v>7.8721591578133827</v>
      </c>
      <c r="L10" s="64">
        <v>0</v>
      </c>
      <c r="M10" s="64">
        <v>0.5</v>
      </c>
      <c r="N10" s="64">
        <v>7</v>
      </c>
      <c r="O10" s="64">
        <v>7</v>
      </c>
      <c r="P10" s="64">
        <v>7</v>
      </c>
      <c r="Q10" s="64">
        <v>7</v>
      </c>
      <c r="R10" s="64">
        <v>7.9659313069810667E-2</v>
      </c>
      <c r="S10" s="64">
        <v>2.0008072702204305</v>
      </c>
      <c r="T10" s="64">
        <v>0.27145376406221861</v>
      </c>
      <c r="U10" s="64">
        <v>7.4430030452200002</v>
      </c>
      <c r="V10" s="64">
        <v>274.59328437311501</v>
      </c>
      <c r="W10" s="64">
        <v>108.54252610067047</v>
      </c>
      <c r="X10" s="64">
        <v>0.67198060221570255</v>
      </c>
      <c r="Y10" s="64">
        <v>0</v>
      </c>
      <c r="Z10" s="64">
        <v>1.0755480838895985E-2</v>
      </c>
      <c r="AA10" s="64">
        <v>0.97736745388192281</v>
      </c>
      <c r="AB10" s="64">
        <v>0.97736745388192281</v>
      </c>
      <c r="AC10" s="64">
        <v>0.97736745388192281</v>
      </c>
      <c r="AD10" s="64">
        <v>0.05</v>
      </c>
      <c r="AE10" s="64">
        <v>0.2701459925633366</v>
      </c>
      <c r="AF10" s="64">
        <v>11.054374047037999</v>
      </c>
      <c r="AG10" s="33">
        <v>235.25992885392276</v>
      </c>
      <c r="AH10" s="33">
        <v>429.8017930985128</v>
      </c>
      <c r="AI10" s="33">
        <v>31.764442251162489</v>
      </c>
      <c r="AJ10" s="65">
        <v>58.031192574239164</v>
      </c>
    </row>
    <row r="11" spans="1:40" x14ac:dyDescent="0.2">
      <c r="A11" s="28">
        <v>45444</v>
      </c>
      <c r="B11" s="29">
        <v>33.380000000000003</v>
      </c>
      <c r="C11" s="29">
        <v>33.47</v>
      </c>
      <c r="D11" s="29">
        <v>32.76</v>
      </c>
      <c r="E11" s="29">
        <v>32.86</v>
      </c>
      <c r="F11" s="29">
        <v>32.15</v>
      </c>
      <c r="G11" s="29">
        <v>32.200000000000003</v>
      </c>
      <c r="H11" s="62">
        <v>60</v>
      </c>
      <c r="I11" s="62">
        <v>94.868329805051388</v>
      </c>
      <c r="J11" s="62">
        <v>5.5289522242656091</v>
      </c>
      <c r="K11" s="62">
        <v>3.7086688513360042</v>
      </c>
      <c r="L11" s="62">
        <v>0</v>
      </c>
      <c r="M11" s="62">
        <v>0.5</v>
      </c>
      <c r="N11" s="62">
        <v>7</v>
      </c>
      <c r="O11" s="62">
        <v>7</v>
      </c>
      <c r="P11" s="62">
        <v>7</v>
      </c>
      <c r="Q11" s="62">
        <v>7</v>
      </c>
      <c r="R11" s="62">
        <v>7.8795046868011934E-2</v>
      </c>
      <c r="S11" s="62">
        <v>2.0001604862400537</v>
      </c>
      <c r="T11" s="62">
        <v>0.27136601350841888</v>
      </c>
      <c r="U11" s="62">
        <v>7.4405970088129996</v>
      </c>
      <c r="V11" s="62">
        <v>274.59328437311501</v>
      </c>
      <c r="W11" s="62">
        <v>108.54252610067047</v>
      </c>
      <c r="X11" s="62">
        <v>0.74688782106403806</v>
      </c>
      <c r="Y11" s="62">
        <v>0</v>
      </c>
      <c r="Z11" s="62">
        <v>1.064416161235025E-2</v>
      </c>
      <c r="AA11" s="62">
        <v>0.97754492988435282</v>
      </c>
      <c r="AB11" s="62">
        <v>0.97754492988435282</v>
      </c>
      <c r="AC11" s="62">
        <v>0.97754492988435282</v>
      </c>
      <c r="AD11" s="62">
        <v>0.05</v>
      </c>
      <c r="AE11" s="62">
        <v>0.27019504722608617</v>
      </c>
      <c r="AF11" s="62">
        <v>11.056381361829001</v>
      </c>
      <c r="AG11" s="29">
        <v>235.18387837396304</v>
      </c>
      <c r="AH11" s="29">
        <v>429.66285472166322</v>
      </c>
      <c r="AI11" s="29">
        <v>31.770210221241463</v>
      </c>
      <c r="AJ11" s="63">
        <v>58.041730211883447</v>
      </c>
    </row>
    <row r="12" spans="1:40" x14ac:dyDescent="0.2">
      <c r="A12" s="32">
        <v>45474</v>
      </c>
      <c r="B12" s="33">
        <v>33.28</v>
      </c>
      <c r="C12" s="33">
        <v>33.340000000000003</v>
      </c>
      <c r="D12" s="33">
        <v>32.86</v>
      </c>
      <c r="E12" s="33">
        <v>32.92</v>
      </c>
      <c r="F12" s="33">
        <v>32.22</v>
      </c>
      <c r="G12" s="33">
        <v>32.299999999999997</v>
      </c>
      <c r="H12" s="64">
        <v>60</v>
      </c>
      <c r="I12" s="64">
        <v>94.868329805051388</v>
      </c>
      <c r="J12" s="64">
        <v>3.7687378227301283</v>
      </c>
      <c r="K12" s="64">
        <v>10.263608754651264</v>
      </c>
      <c r="L12" s="64">
        <v>0</v>
      </c>
      <c r="M12" s="64">
        <v>0.5</v>
      </c>
      <c r="N12" s="64">
        <v>7</v>
      </c>
      <c r="O12" s="64">
        <v>7</v>
      </c>
      <c r="P12" s="64">
        <v>7</v>
      </c>
      <c r="Q12" s="64">
        <v>7</v>
      </c>
      <c r="R12" s="64">
        <v>7.8904918267314217E-2</v>
      </c>
      <c r="S12" s="64">
        <v>1.9995619799526885</v>
      </c>
      <c r="T12" s="64">
        <v>0.27128481289157869</v>
      </c>
      <c r="U12" s="64">
        <v>7.438370565424</v>
      </c>
      <c r="V12" s="64">
        <v>274.59328437311501</v>
      </c>
      <c r="W12" s="64">
        <v>108.54252610067047</v>
      </c>
      <c r="X12" s="64">
        <v>0.50936850573028403</v>
      </c>
      <c r="Y12" s="64">
        <v>0</v>
      </c>
      <c r="Z12" s="64">
        <v>1.0664493637064216E-2</v>
      </c>
      <c r="AA12" s="64">
        <v>0.97775574578476543</v>
      </c>
      <c r="AB12" s="64">
        <v>0.97775574578476543</v>
      </c>
      <c r="AC12" s="64">
        <v>0.97775574578476543</v>
      </c>
      <c r="AD12" s="64">
        <v>0.05</v>
      </c>
      <c r="AE12" s="64">
        <v>0.27025331709218303</v>
      </c>
      <c r="AF12" s="64">
        <v>11.058765795306</v>
      </c>
      <c r="AG12" s="33">
        <v>235.11350450603484</v>
      </c>
      <c r="AH12" s="33">
        <v>429.53428707833285</v>
      </c>
      <c r="AI12" s="33">
        <v>31.777061738004875</v>
      </c>
      <c r="AJ12" s="65">
        <v>58.05424740597045</v>
      </c>
    </row>
    <row r="13" spans="1:40" x14ac:dyDescent="0.2">
      <c r="A13" s="28">
        <v>45505</v>
      </c>
      <c r="B13" s="29">
        <v>33.4</v>
      </c>
      <c r="C13" s="29">
        <v>33.47</v>
      </c>
      <c r="D13" s="29">
        <v>32.99</v>
      </c>
      <c r="E13" s="29">
        <v>33.049999999999997</v>
      </c>
      <c r="F13" s="29">
        <v>32.340000000000003</v>
      </c>
      <c r="G13" s="29">
        <v>32.42</v>
      </c>
      <c r="H13" s="62">
        <v>60</v>
      </c>
      <c r="I13" s="62">
        <v>94.868329805051388</v>
      </c>
      <c r="J13" s="62">
        <v>3.7676868438142455</v>
      </c>
      <c r="K13" s="62">
        <v>6.8344708405432719</v>
      </c>
      <c r="L13" s="62">
        <v>0</v>
      </c>
      <c r="M13" s="62">
        <v>0.5</v>
      </c>
      <c r="N13" s="62">
        <v>7</v>
      </c>
      <c r="O13" s="62">
        <v>7</v>
      </c>
      <c r="P13" s="62">
        <v>7</v>
      </c>
      <c r="Q13" s="62">
        <v>7</v>
      </c>
      <c r="R13" s="62">
        <v>7.8313375003392319E-2</v>
      </c>
      <c r="S13" s="62">
        <v>1.999004366854839</v>
      </c>
      <c r="T13" s="62">
        <v>0.27120916034045373</v>
      </c>
      <c r="U13" s="62">
        <v>7.4362962447000003</v>
      </c>
      <c r="V13" s="62">
        <v>274.59328437311501</v>
      </c>
      <c r="W13" s="62">
        <v>108.54252610067047</v>
      </c>
      <c r="X13" s="62">
        <v>0.50949837697104228</v>
      </c>
      <c r="Y13" s="62">
        <v>0</v>
      </c>
      <c r="Z13" s="62">
        <v>1.0590194814304321E-2</v>
      </c>
      <c r="AA13" s="62">
        <v>0.97800503945812478</v>
      </c>
      <c r="AB13" s="62">
        <v>0.97800503945812478</v>
      </c>
      <c r="AC13" s="62">
        <v>0.97800503945812478</v>
      </c>
      <c r="AD13" s="62">
        <v>0.05</v>
      </c>
      <c r="AE13" s="62">
        <v>0.27032222227882696</v>
      </c>
      <c r="AF13" s="62">
        <v>11.061585395511999</v>
      </c>
      <c r="AG13" s="29">
        <v>235.04793896172652</v>
      </c>
      <c r="AH13" s="29">
        <v>429.41450387238501</v>
      </c>
      <c r="AI13" s="29">
        <v>31.785163782389052</v>
      </c>
      <c r="AJ13" s="63">
        <v>58.069049217826162</v>
      </c>
    </row>
    <row r="14" spans="1:40" x14ac:dyDescent="0.2">
      <c r="A14" s="32">
        <v>45536</v>
      </c>
      <c r="B14" s="33">
        <v>33.799999999999997</v>
      </c>
      <c r="C14" s="33">
        <v>33.86</v>
      </c>
      <c r="D14" s="33">
        <v>33.380000000000003</v>
      </c>
      <c r="E14" s="33">
        <v>33.44</v>
      </c>
      <c r="F14" s="33">
        <v>32.72</v>
      </c>
      <c r="G14" s="33">
        <v>32.81</v>
      </c>
      <c r="H14" s="64">
        <v>60</v>
      </c>
      <c r="I14" s="64">
        <v>94.868329805051388</v>
      </c>
      <c r="J14" s="64">
        <v>3.7666528161087038</v>
      </c>
      <c r="K14" s="64">
        <v>0.22594560709358613</v>
      </c>
      <c r="L14" s="64">
        <v>0</v>
      </c>
      <c r="M14" s="64">
        <v>0.5</v>
      </c>
      <c r="N14" s="64">
        <v>7</v>
      </c>
      <c r="O14" s="64">
        <v>7</v>
      </c>
      <c r="P14" s="64">
        <v>7</v>
      </c>
      <c r="Q14" s="64">
        <v>7</v>
      </c>
      <c r="R14" s="64">
        <v>7.75417427739893E-2</v>
      </c>
      <c r="S14" s="64">
        <v>1.9984557475166671</v>
      </c>
      <c r="T14" s="64">
        <v>0.27113472799177085</v>
      </c>
      <c r="U14" s="64">
        <v>7.434255380762</v>
      </c>
      <c r="V14" s="64">
        <v>274.59328437311501</v>
      </c>
      <c r="W14" s="64">
        <v>108.54252610067047</v>
      </c>
      <c r="X14" s="64">
        <v>0.50962615368013953</v>
      </c>
      <c r="Y14" s="64">
        <v>0</v>
      </c>
      <c r="Z14" s="64">
        <v>1.0491357247142563E-2</v>
      </c>
      <c r="AA14" s="64">
        <v>0.97825031260022444</v>
      </c>
      <c r="AB14" s="64">
        <v>0.97825031260022444</v>
      </c>
      <c r="AC14" s="64">
        <v>0.97825031260022444</v>
      </c>
      <c r="AD14" s="64">
        <v>0.05</v>
      </c>
      <c r="AE14" s="64">
        <v>0.27039001618393238</v>
      </c>
      <c r="AF14" s="64">
        <v>11.064359518297</v>
      </c>
      <c r="AG14" s="33">
        <v>234.98343092620141</v>
      </c>
      <c r="AH14" s="33">
        <v>429.29665265363724</v>
      </c>
      <c r="AI14" s="33">
        <v>31.79313515950729</v>
      </c>
      <c r="AJ14" s="65">
        <v>58.083612310638323</v>
      </c>
    </row>
    <row r="15" spans="1:40" x14ac:dyDescent="0.2">
      <c r="A15" s="28">
        <v>45566</v>
      </c>
      <c r="B15" s="29">
        <v>35.24</v>
      </c>
      <c r="C15" s="29">
        <v>35.29</v>
      </c>
      <c r="D15" s="29">
        <v>34.83</v>
      </c>
      <c r="E15" s="29">
        <v>34.869999999999997</v>
      </c>
      <c r="F15" s="29">
        <v>33.869999999999997</v>
      </c>
      <c r="G15" s="29">
        <v>33.94</v>
      </c>
      <c r="H15" s="62">
        <v>60</v>
      </c>
      <c r="I15" s="62">
        <v>94.868329805051388</v>
      </c>
      <c r="J15" s="62">
        <v>3.765606868691926</v>
      </c>
      <c r="K15" s="62">
        <v>9.0443499023225904</v>
      </c>
      <c r="L15" s="62">
        <v>0</v>
      </c>
      <c r="M15" s="62">
        <v>0.5</v>
      </c>
      <c r="N15" s="62">
        <v>7</v>
      </c>
      <c r="O15" s="62">
        <v>7</v>
      </c>
      <c r="P15" s="62">
        <v>7</v>
      </c>
      <c r="Q15" s="62">
        <v>7</v>
      </c>
      <c r="R15" s="62">
        <v>8.2051420770604871E-2</v>
      </c>
      <c r="S15" s="62">
        <v>1.9979008040110218</v>
      </c>
      <c r="T15" s="62">
        <v>0.27105943762987972</v>
      </c>
      <c r="U15" s="62">
        <v>7.4321909909209998</v>
      </c>
      <c r="V15" s="62">
        <v>223.640226267174</v>
      </c>
      <c r="W15" s="62">
        <v>88.401561429960736</v>
      </c>
      <c r="X15" s="62">
        <v>0.5097580804308649</v>
      </c>
      <c r="Y15" s="62">
        <v>0</v>
      </c>
      <c r="Z15" s="62">
        <v>1.1107472570531594E-2</v>
      </c>
      <c r="AA15" s="62">
        <v>0.97850355194319116</v>
      </c>
      <c r="AB15" s="62">
        <v>0.97850355194319116</v>
      </c>
      <c r="AC15" s="62">
        <v>0.97850355194319116</v>
      </c>
      <c r="AD15" s="62">
        <v>0.05</v>
      </c>
      <c r="AE15" s="62">
        <v>0.27046001196022934</v>
      </c>
      <c r="AF15" s="62">
        <v>11.067223757349</v>
      </c>
      <c r="AG15" s="29">
        <v>234.91817927922912</v>
      </c>
      <c r="AH15" s="29">
        <v>429.17744291397628</v>
      </c>
      <c r="AI15" s="29">
        <v>31.801365438153713</v>
      </c>
      <c r="AJ15" s="63">
        <v>58.09864839662697</v>
      </c>
    </row>
    <row r="16" spans="1:40" x14ac:dyDescent="0.2">
      <c r="A16" s="32">
        <v>45597</v>
      </c>
      <c r="B16" s="33">
        <v>38.17</v>
      </c>
      <c r="C16" s="33">
        <v>38.22</v>
      </c>
      <c r="D16" s="33">
        <v>37.75</v>
      </c>
      <c r="E16" s="33">
        <v>37.799999999999997</v>
      </c>
      <c r="F16" s="33">
        <v>36.72</v>
      </c>
      <c r="G16" s="33">
        <v>36.799999999999997</v>
      </c>
      <c r="H16" s="64">
        <v>60</v>
      </c>
      <c r="I16" s="64">
        <v>94.868329805051388</v>
      </c>
      <c r="J16" s="64">
        <v>3.7645492767934727</v>
      </c>
      <c r="K16" s="64">
        <v>8.4637120200527516</v>
      </c>
      <c r="L16" s="64">
        <v>0</v>
      </c>
      <c r="M16" s="64">
        <v>0.5</v>
      </c>
      <c r="N16" s="64">
        <v>7</v>
      </c>
      <c r="O16" s="64">
        <v>7</v>
      </c>
      <c r="P16" s="64">
        <v>7</v>
      </c>
      <c r="Q16" s="64">
        <v>7</v>
      </c>
      <c r="R16" s="64">
        <v>8.8511651836499047E-2</v>
      </c>
      <c r="S16" s="64">
        <v>2.9960095234830653</v>
      </c>
      <c r="T16" s="64">
        <v>0.27098330906075807</v>
      </c>
      <c r="U16" s="64">
        <v>7.4301036182380003</v>
      </c>
      <c r="V16" s="64">
        <v>223.640226267174</v>
      </c>
      <c r="W16" s="64">
        <v>88.401561429960736</v>
      </c>
      <c r="X16" s="64">
        <v>0.50989421050984585</v>
      </c>
      <c r="Y16" s="64">
        <v>0</v>
      </c>
      <c r="Z16" s="64">
        <v>1.1988574401504195E-2</v>
      </c>
      <c r="AA16" s="64">
        <v>0.97876485975197314</v>
      </c>
      <c r="AB16" s="64">
        <v>0.97876485975197314</v>
      </c>
      <c r="AC16" s="64">
        <v>0.97876485975197314</v>
      </c>
      <c r="AD16" s="64">
        <v>0.05</v>
      </c>
      <c r="AE16" s="64">
        <v>0.40579835681087972</v>
      </c>
      <c r="AF16" s="64">
        <v>11.070179237299</v>
      </c>
      <c r="AG16" s="33">
        <v>234.85220118599034</v>
      </c>
      <c r="AH16" s="33">
        <v>429.05690601286699</v>
      </c>
      <c r="AI16" s="33">
        <v>31.809857941939125</v>
      </c>
      <c r="AJ16" s="65">
        <v>58.114163547773401</v>
      </c>
    </row>
    <row r="17" spans="1:36" x14ac:dyDescent="0.2">
      <c r="A17" s="28">
        <v>45627</v>
      </c>
      <c r="B17" s="29">
        <v>39.89</v>
      </c>
      <c r="C17" s="29">
        <v>39.94</v>
      </c>
      <c r="D17" s="29">
        <v>39.47</v>
      </c>
      <c r="E17" s="29">
        <v>39.520000000000003</v>
      </c>
      <c r="F17" s="29">
        <v>38.39</v>
      </c>
      <c r="G17" s="29">
        <v>38.47</v>
      </c>
      <c r="H17" s="62">
        <v>60</v>
      </c>
      <c r="I17" s="62">
        <v>94.868329805051388</v>
      </c>
      <c r="J17" s="62">
        <v>3.7634924310633471</v>
      </c>
      <c r="K17" s="62">
        <v>16.028678020748075</v>
      </c>
      <c r="L17" s="62">
        <v>0</v>
      </c>
      <c r="M17" s="62">
        <v>0.5</v>
      </c>
      <c r="N17" s="62">
        <v>7</v>
      </c>
      <c r="O17" s="62">
        <v>7</v>
      </c>
      <c r="P17" s="62">
        <v>7</v>
      </c>
      <c r="Q17" s="62">
        <v>7</v>
      </c>
      <c r="R17" s="62">
        <v>9.4263900168136697E-2</v>
      </c>
      <c r="S17" s="62">
        <v>2.995168434743146</v>
      </c>
      <c r="T17" s="62">
        <v>0.27090723419912272</v>
      </c>
      <c r="U17" s="62">
        <v>7.4280177181629998</v>
      </c>
      <c r="V17" s="62">
        <v>223.640226267174</v>
      </c>
      <c r="W17" s="62">
        <v>88.401561429960736</v>
      </c>
      <c r="X17" s="62">
        <v>0.51003024415863796</v>
      </c>
      <c r="Y17" s="62">
        <v>0</v>
      </c>
      <c r="Z17" s="62">
        <v>1.2774687658574715E-2</v>
      </c>
      <c r="AA17" s="62">
        <v>0.97902598244457917</v>
      </c>
      <c r="AB17" s="62">
        <v>0.97902598244457917</v>
      </c>
      <c r="AC17" s="62">
        <v>0.97902598244457917</v>
      </c>
      <c r="AD17" s="62">
        <v>0.05</v>
      </c>
      <c r="AE17" s="62">
        <v>0.40590661893178637</v>
      </c>
      <c r="AF17" s="62">
        <v>11.073132632206001</v>
      </c>
      <c r="AG17" s="29">
        <v>234.78626963923972</v>
      </c>
      <c r="AH17" s="29">
        <v>428.93645414861101</v>
      </c>
      <c r="AI17" s="29">
        <v>31.818344429448821</v>
      </c>
      <c r="AJ17" s="63">
        <v>58.129667707646881</v>
      </c>
    </row>
    <row r="18" spans="1:36" x14ac:dyDescent="0.2">
      <c r="A18" s="32">
        <v>45658</v>
      </c>
      <c r="B18" s="33">
        <v>40.130000000000003</v>
      </c>
      <c r="C18" s="33">
        <v>40.26</v>
      </c>
      <c r="D18" s="33">
        <v>39.57</v>
      </c>
      <c r="E18" s="33">
        <v>39.700000000000003</v>
      </c>
      <c r="F18" s="33">
        <v>38.69</v>
      </c>
      <c r="G18" s="33">
        <v>38.78</v>
      </c>
      <c r="H18" s="64">
        <v>60</v>
      </c>
      <c r="I18" s="64">
        <v>94.868329805051388</v>
      </c>
      <c r="J18" s="64">
        <v>5.0596838098110375</v>
      </c>
      <c r="K18" s="64">
        <v>4.1894263446642821</v>
      </c>
      <c r="L18" s="64">
        <v>0</v>
      </c>
      <c r="M18" s="64">
        <v>0.5</v>
      </c>
      <c r="N18" s="64">
        <v>7</v>
      </c>
      <c r="O18" s="64">
        <v>7</v>
      </c>
      <c r="P18" s="64">
        <v>7</v>
      </c>
      <c r="Q18" s="64">
        <v>7</v>
      </c>
      <c r="R18" s="64">
        <v>9.2292397394182324E-2</v>
      </c>
      <c r="S18" s="64">
        <v>2.9947355737125005</v>
      </c>
      <c r="T18" s="64">
        <v>0.27086808274999408</v>
      </c>
      <c r="U18" s="64">
        <v>7.4269442228070002</v>
      </c>
      <c r="V18" s="64">
        <v>223.640226267174</v>
      </c>
      <c r="W18" s="64">
        <v>88.401561429960736</v>
      </c>
      <c r="X18" s="64">
        <v>0.68597959983278989</v>
      </c>
      <c r="Y18" s="64">
        <v>0</v>
      </c>
      <c r="Z18" s="64">
        <v>1.2512778393427139E-2</v>
      </c>
      <c r="AA18" s="64">
        <v>0.97929692050199668</v>
      </c>
      <c r="AB18" s="64">
        <v>0.97929692050199668</v>
      </c>
      <c r="AC18" s="64">
        <v>0.97929692050199668</v>
      </c>
      <c r="AD18" s="64">
        <v>0.05</v>
      </c>
      <c r="AE18" s="64">
        <v>0.40601895052747256</v>
      </c>
      <c r="AF18" s="64">
        <v>11.076197044026999</v>
      </c>
      <c r="AG18" s="33">
        <v>234.75233838332818</v>
      </c>
      <c r="AH18" s="33">
        <v>442.41786849165703</v>
      </c>
      <c r="AI18" s="33">
        <v>31.827149916314891</v>
      </c>
      <c r="AJ18" s="65">
        <v>59.9819363807473</v>
      </c>
    </row>
    <row r="19" spans="1:36" x14ac:dyDescent="0.2">
      <c r="A19" s="28">
        <v>45689</v>
      </c>
      <c r="B19" s="29">
        <v>39.700000000000003</v>
      </c>
      <c r="C19" s="29">
        <v>39.83</v>
      </c>
      <c r="D19" s="29">
        <v>39.1</v>
      </c>
      <c r="E19" s="29">
        <v>39.229999999999997</v>
      </c>
      <c r="F19" s="29">
        <v>38.22</v>
      </c>
      <c r="G19" s="29">
        <v>38.32</v>
      </c>
      <c r="H19" s="62">
        <v>60</v>
      </c>
      <c r="I19" s="62">
        <v>94.868329805051388</v>
      </c>
      <c r="J19" s="62">
        <v>5.4129334191020568</v>
      </c>
      <c r="K19" s="62">
        <v>7.7107537862004456</v>
      </c>
      <c r="L19" s="62">
        <v>0</v>
      </c>
      <c r="M19" s="62">
        <v>0.5</v>
      </c>
      <c r="N19" s="62">
        <v>7</v>
      </c>
      <c r="O19" s="62">
        <v>7</v>
      </c>
      <c r="P19" s="62">
        <v>7</v>
      </c>
      <c r="Q19" s="62">
        <v>7</v>
      </c>
      <c r="R19" s="62">
        <v>9.2189343948678268E-2</v>
      </c>
      <c r="S19" s="62">
        <v>2.9947520265495973</v>
      </c>
      <c r="T19" s="62">
        <v>0.27086957087752001</v>
      </c>
      <c r="U19" s="62">
        <v>7.4269850258429999</v>
      </c>
      <c r="V19" s="62">
        <v>223.640226267174</v>
      </c>
      <c r="W19" s="62">
        <v>88.401561429960736</v>
      </c>
      <c r="X19" s="62">
        <v>0.73406571251145247</v>
      </c>
      <c r="Y19" s="62">
        <v>0</v>
      </c>
      <c r="Z19" s="62">
        <v>1.2502100354698413E-2</v>
      </c>
      <c r="AA19" s="62">
        <v>0.9795603684670865</v>
      </c>
      <c r="AB19" s="62">
        <v>0.9795603684670865</v>
      </c>
      <c r="AC19" s="62">
        <v>0.9795603684670865</v>
      </c>
      <c r="AD19" s="62">
        <v>0.05</v>
      </c>
      <c r="AE19" s="62">
        <v>0.40612817671216189</v>
      </c>
      <c r="AF19" s="62">
        <v>11.079176720834999</v>
      </c>
      <c r="AG19" s="29">
        <v>234.75362809385069</v>
      </c>
      <c r="AH19" s="29">
        <v>442.42029909994932</v>
      </c>
      <c r="AI19" s="29">
        <v>31.835711975180313</v>
      </c>
      <c r="AJ19" s="63">
        <v>59.998072568609054</v>
      </c>
    </row>
    <row r="20" spans="1:36" x14ac:dyDescent="0.2">
      <c r="A20" s="32">
        <v>45717</v>
      </c>
      <c r="B20" s="33">
        <v>38.57</v>
      </c>
      <c r="C20" s="33">
        <v>38.69</v>
      </c>
      <c r="D20" s="33">
        <v>38</v>
      </c>
      <c r="E20" s="33">
        <v>38.119999999999997</v>
      </c>
      <c r="F20" s="33">
        <v>37.15</v>
      </c>
      <c r="G20" s="33">
        <v>37.24</v>
      </c>
      <c r="H20" s="64">
        <v>60</v>
      </c>
      <c r="I20" s="64">
        <v>94.868329805051388</v>
      </c>
      <c r="J20" s="64">
        <v>5.1711139714523462</v>
      </c>
      <c r="K20" s="64">
        <v>7.9094348919094006</v>
      </c>
      <c r="L20" s="64">
        <v>0</v>
      </c>
      <c r="M20" s="64">
        <v>0.5</v>
      </c>
      <c r="N20" s="64">
        <v>7</v>
      </c>
      <c r="O20" s="64">
        <v>7</v>
      </c>
      <c r="P20" s="64">
        <v>7</v>
      </c>
      <c r="Q20" s="64">
        <v>7</v>
      </c>
      <c r="R20" s="64">
        <v>8.9673490196292116E-2</v>
      </c>
      <c r="S20" s="64">
        <v>2.9947684681270164</v>
      </c>
      <c r="T20" s="64">
        <v>0.2708710579866298</v>
      </c>
      <c r="U20" s="64">
        <v>7.4270258009549996</v>
      </c>
      <c r="V20" s="64">
        <v>223.640226267174</v>
      </c>
      <c r="W20" s="64">
        <v>88.401561429960736</v>
      </c>
      <c r="X20" s="64">
        <v>0.70145640325372294</v>
      </c>
      <c r="Y20" s="64">
        <v>0</v>
      </c>
      <c r="Z20" s="64">
        <v>1.2164118730373803E-2</v>
      </c>
      <c r="AA20" s="64">
        <v>0.9798236337715982</v>
      </c>
      <c r="AB20" s="64">
        <v>0.9798236337715982</v>
      </c>
      <c r="AC20" s="64">
        <v>0.9798236337715982</v>
      </c>
      <c r="AD20" s="64">
        <v>0.05</v>
      </c>
      <c r="AE20" s="64">
        <v>0.40623732716531891</v>
      </c>
      <c r="AF20" s="64">
        <v>11.082154358492</v>
      </c>
      <c r="AG20" s="33">
        <v>234.7549169217458</v>
      </c>
      <c r="AH20" s="33">
        <v>442.4227280448286</v>
      </c>
      <c r="AI20" s="33">
        <v>31.84426809757694</v>
      </c>
      <c r="AJ20" s="65">
        <v>60.014197568510383</v>
      </c>
    </row>
    <row r="21" spans="1:36" x14ac:dyDescent="0.2">
      <c r="A21" s="28">
        <v>45748</v>
      </c>
      <c r="B21" s="29">
        <v>35.82</v>
      </c>
      <c r="C21" s="29">
        <v>36.020000000000003</v>
      </c>
      <c r="D21" s="29">
        <v>35.25</v>
      </c>
      <c r="E21" s="29">
        <v>35.450000000000003</v>
      </c>
      <c r="F21" s="29">
        <v>34.4</v>
      </c>
      <c r="G21" s="29">
        <v>34.47</v>
      </c>
      <c r="H21" s="62">
        <v>60</v>
      </c>
      <c r="I21" s="62">
        <v>94.868329805051388</v>
      </c>
      <c r="J21" s="62">
        <v>5.1711433231350608</v>
      </c>
      <c r="K21" s="62">
        <v>6.5280295523093361</v>
      </c>
      <c r="L21" s="62">
        <v>0</v>
      </c>
      <c r="M21" s="62">
        <v>0.5</v>
      </c>
      <c r="N21" s="62">
        <v>7</v>
      </c>
      <c r="O21" s="62">
        <v>7</v>
      </c>
      <c r="P21" s="62">
        <v>7</v>
      </c>
      <c r="Q21" s="62">
        <v>7</v>
      </c>
      <c r="R21" s="62">
        <v>8.2816407982868892E-2</v>
      </c>
      <c r="S21" s="62">
        <v>1.996523644472312</v>
      </c>
      <c r="T21" s="62">
        <v>0.27087259547568482</v>
      </c>
      <c r="U21" s="62">
        <v>7.427067957437</v>
      </c>
      <c r="V21" s="62">
        <v>223.640226267174</v>
      </c>
      <c r="W21" s="62">
        <v>88.401561429960736</v>
      </c>
      <c r="X21" s="62">
        <v>0.70165126121428611</v>
      </c>
      <c r="Y21" s="62">
        <v>0</v>
      </c>
      <c r="Z21" s="62">
        <v>1.1237019328394788E-2</v>
      </c>
      <c r="AA21" s="62">
        <v>0.98009581952527347</v>
      </c>
      <c r="AB21" s="62">
        <v>0.98009581952527347</v>
      </c>
      <c r="AC21" s="62">
        <v>0.98009581952527347</v>
      </c>
      <c r="AD21" s="62">
        <v>0.05</v>
      </c>
      <c r="AE21" s="62">
        <v>0.27090011737266106</v>
      </c>
      <c r="AF21" s="62">
        <v>11.085232871862001</v>
      </c>
      <c r="AG21" s="29">
        <v>234.75624941226013</v>
      </c>
      <c r="AH21" s="29">
        <v>442.42523927695186</v>
      </c>
      <c r="AI21" s="29">
        <v>31.853114134571385</v>
      </c>
      <c r="AJ21" s="63">
        <v>60.030868945922997</v>
      </c>
    </row>
    <row r="22" spans="1:36" x14ac:dyDescent="0.2">
      <c r="A22" s="32">
        <v>45778</v>
      </c>
      <c r="B22" s="33">
        <v>34.58</v>
      </c>
      <c r="C22" s="33">
        <v>34.770000000000003</v>
      </c>
      <c r="D22" s="33">
        <v>34.01</v>
      </c>
      <c r="E22" s="33">
        <v>34.200000000000003</v>
      </c>
      <c r="F22" s="33">
        <v>33.18</v>
      </c>
      <c r="G22" s="33">
        <v>33.25</v>
      </c>
      <c r="H22" s="64">
        <v>60</v>
      </c>
      <c r="I22" s="64">
        <v>94.868329805051388</v>
      </c>
      <c r="J22" s="64">
        <v>5.1711726955382753</v>
      </c>
      <c r="K22" s="64">
        <v>8.2165153982979025</v>
      </c>
      <c r="L22" s="64">
        <v>0</v>
      </c>
      <c r="M22" s="64">
        <v>0.5</v>
      </c>
      <c r="N22" s="64">
        <v>7</v>
      </c>
      <c r="O22" s="64">
        <v>7</v>
      </c>
      <c r="P22" s="64">
        <v>7</v>
      </c>
      <c r="Q22" s="64">
        <v>7</v>
      </c>
      <c r="R22" s="64">
        <v>8.0417385013813347E-2</v>
      </c>
      <c r="S22" s="64">
        <v>1.9965349848459677</v>
      </c>
      <c r="T22" s="64">
        <v>0.27087413404822031</v>
      </c>
      <c r="U22" s="64">
        <v>7.4271101436269999</v>
      </c>
      <c r="V22" s="64">
        <v>223.640226267174</v>
      </c>
      <c r="W22" s="64">
        <v>88.401561429960736</v>
      </c>
      <c r="X22" s="64">
        <v>0.70184625592129202</v>
      </c>
      <c r="Y22" s="64">
        <v>0</v>
      </c>
      <c r="Z22" s="64">
        <v>1.0914476131552357E-2</v>
      </c>
      <c r="AA22" s="64">
        <v>0.9803681962852544</v>
      </c>
      <c r="AB22" s="64">
        <v>0.9803681962852544</v>
      </c>
      <c r="AC22" s="64">
        <v>0.9803681962852544</v>
      </c>
      <c r="AD22" s="64">
        <v>0.05</v>
      </c>
      <c r="AE22" s="64">
        <v>0.27097540276290399</v>
      </c>
      <c r="AF22" s="64">
        <v>11.088313554663999</v>
      </c>
      <c r="AG22" s="33">
        <v>234.75758284179093</v>
      </c>
      <c r="AH22" s="33">
        <v>442.42775227875984</v>
      </c>
      <c r="AI22" s="33">
        <v>31.861966379270768</v>
      </c>
      <c r="AJ22" s="65">
        <v>60.047552022471827</v>
      </c>
    </row>
    <row r="23" spans="1:36" x14ac:dyDescent="0.2">
      <c r="A23" s="28">
        <v>45809</v>
      </c>
      <c r="B23" s="29">
        <v>34.17</v>
      </c>
      <c r="C23" s="29">
        <v>34.36</v>
      </c>
      <c r="D23" s="29">
        <v>33.6</v>
      </c>
      <c r="E23" s="29">
        <v>33.78</v>
      </c>
      <c r="F23" s="29">
        <v>32.78</v>
      </c>
      <c r="G23" s="29">
        <v>32.85</v>
      </c>
      <c r="H23" s="62">
        <v>60</v>
      </c>
      <c r="I23" s="62">
        <v>94.868329805051388</v>
      </c>
      <c r="J23" s="62">
        <v>5.1712020679234314</v>
      </c>
      <c r="K23" s="62">
        <v>12.559602018547317</v>
      </c>
      <c r="L23" s="62">
        <v>0</v>
      </c>
      <c r="M23" s="62">
        <v>0.5</v>
      </c>
      <c r="N23" s="62">
        <v>7</v>
      </c>
      <c r="O23" s="62">
        <v>7</v>
      </c>
      <c r="P23" s="62">
        <v>7</v>
      </c>
      <c r="Q23" s="62">
        <v>7</v>
      </c>
      <c r="R23" s="62">
        <v>8.0578109892963212E-2</v>
      </c>
      <c r="S23" s="62">
        <v>1.9965463252196238</v>
      </c>
      <c r="T23" s="62">
        <v>0.27087567262075579</v>
      </c>
      <c r="U23" s="62">
        <v>7.4271523298169999</v>
      </c>
      <c r="V23" s="62">
        <v>223.640226267174</v>
      </c>
      <c r="W23" s="62">
        <v>88.401561429960736</v>
      </c>
      <c r="X23" s="62">
        <v>0.70204125121597716</v>
      </c>
      <c r="Y23" s="62">
        <v>0</v>
      </c>
      <c r="Z23" s="62">
        <v>1.0939266479694029E-2</v>
      </c>
      <c r="AA23" s="62">
        <v>0.98064057386955461</v>
      </c>
      <c r="AB23" s="62">
        <v>0.98064057386955461</v>
      </c>
      <c r="AC23" s="62">
        <v>0.98064057386955461</v>
      </c>
      <c r="AD23" s="62">
        <v>0.05</v>
      </c>
      <c r="AE23" s="62">
        <v>0.27105068838099011</v>
      </c>
      <c r="AF23" s="62">
        <v>11.091394237465</v>
      </c>
      <c r="AG23" s="29">
        <v>234.75891627132168</v>
      </c>
      <c r="AH23" s="29">
        <v>442.43026528056777</v>
      </c>
      <c r="AI23" s="29">
        <v>31.870818650760523</v>
      </c>
      <c r="AJ23" s="63">
        <v>60.064235149510218</v>
      </c>
    </row>
    <row r="24" spans="1:36" x14ac:dyDescent="0.2">
      <c r="A24" s="32">
        <v>45839</v>
      </c>
      <c r="B24" s="33">
        <v>34.159999999999997</v>
      </c>
      <c r="C24" s="33">
        <v>34.35</v>
      </c>
      <c r="D24" s="33">
        <v>33.590000000000003</v>
      </c>
      <c r="E24" s="33">
        <v>33.78</v>
      </c>
      <c r="F24" s="33">
        <v>32.78</v>
      </c>
      <c r="G24" s="33">
        <v>32.85</v>
      </c>
      <c r="H24" s="64">
        <v>60</v>
      </c>
      <c r="I24" s="64">
        <v>94.868329805051388</v>
      </c>
      <c r="J24" s="64">
        <v>5.1712314403356752</v>
      </c>
      <c r="K24" s="64">
        <v>6.482994587856683</v>
      </c>
      <c r="L24" s="64">
        <v>0</v>
      </c>
      <c r="M24" s="64">
        <v>0.5</v>
      </c>
      <c r="N24" s="64">
        <v>7</v>
      </c>
      <c r="O24" s="64">
        <v>7</v>
      </c>
      <c r="P24" s="64">
        <v>7</v>
      </c>
      <c r="Q24" s="64">
        <v>7</v>
      </c>
      <c r="R24" s="64">
        <v>7.9041339402576502E-2</v>
      </c>
      <c r="S24" s="64">
        <v>1.9965576655932797</v>
      </c>
      <c r="T24" s="64">
        <v>0.27087721119329122</v>
      </c>
      <c r="U24" s="64">
        <v>7.4271945160069999</v>
      </c>
      <c r="V24" s="64">
        <v>223.640226267174</v>
      </c>
      <c r="W24" s="64">
        <v>88.401561429960736</v>
      </c>
      <c r="X24" s="64">
        <v>0.70223624592436107</v>
      </c>
      <c r="Y24" s="64">
        <v>0</v>
      </c>
      <c r="Z24" s="64">
        <v>1.0733554369642594E-2</v>
      </c>
      <c r="AA24" s="64">
        <v>0.98091295062974859</v>
      </c>
      <c r="AB24" s="64">
        <v>0.98091295062974859</v>
      </c>
      <c r="AC24" s="64">
        <v>0.98091295062974859</v>
      </c>
      <c r="AD24" s="64">
        <v>0.05</v>
      </c>
      <c r="AE24" s="64">
        <v>0.27112597377129199</v>
      </c>
      <c r="AF24" s="64">
        <v>11.094474920267</v>
      </c>
      <c r="AG24" s="33">
        <v>234.76024970085243</v>
      </c>
      <c r="AH24" s="33">
        <v>442.43277828237569</v>
      </c>
      <c r="AI24" s="33">
        <v>31.879670895466834</v>
      </c>
      <c r="AJ24" s="65">
        <v>60.080918226072114</v>
      </c>
    </row>
    <row r="25" spans="1:36" x14ac:dyDescent="0.2">
      <c r="A25" s="28">
        <v>45870</v>
      </c>
      <c r="B25" s="29">
        <v>34.380000000000003</v>
      </c>
      <c r="C25" s="29">
        <v>34.57</v>
      </c>
      <c r="D25" s="29">
        <v>33.81</v>
      </c>
      <c r="E25" s="29">
        <v>33.99</v>
      </c>
      <c r="F25" s="29">
        <v>32.99</v>
      </c>
      <c r="G25" s="29">
        <v>33.06</v>
      </c>
      <c r="H25" s="62">
        <v>60</v>
      </c>
      <c r="I25" s="62">
        <v>94.868329805051388</v>
      </c>
      <c r="J25" s="62">
        <v>5.1712612942537763</v>
      </c>
      <c r="K25" s="62">
        <v>6.8622622977540724</v>
      </c>
      <c r="L25" s="62">
        <v>0</v>
      </c>
      <c r="M25" s="62">
        <v>0.5</v>
      </c>
      <c r="N25" s="62">
        <v>7</v>
      </c>
      <c r="O25" s="62">
        <v>7</v>
      </c>
      <c r="P25" s="62">
        <v>7</v>
      </c>
      <c r="Q25" s="62">
        <v>7</v>
      </c>
      <c r="R25" s="62">
        <v>7.9628699727070804E-2</v>
      </c>
      <c r="S25" s="62">
        <v>1.9965691918747313</v>
      </c>
      <c r="T25" s="62">
        <v>0.27087877498833152</v>
      </c>
      <c r="U25" s="62">
        <v>7.4272373937739999</v>
      </c>
      <c r="V25" s="62">
        <v>223.640226267174</v>
      </c>
      <c r="W25" s="62">
        <v>88.401561429960736</v>
      </c>
      <c r="X25" s="62">
        <v>0.70243443756104096</v>
      </c>
      <c r="Y25" s="62">
        <v>0</v>
      </c>
      <c r="Z25" s="62">
        <v>1.0816305364335218E-2</v>
      </c>
      <c r="AA25" s="62">
        <v>0.98118979299477072</v>
      </c>
      <c r="AB25" s="62">
        <v>0.98118979299477072</v>
      </c>
      <c r="AC25" s="62">
        <v>0.98118979299477072</v>
      </c>
      <c r="AD25" s="62">
        <v>0.05</v>
      </c>
      <c r="AE25" s="62">
        <v>0.27120249346220804</v>
      </c>
      <c r="AF25" s="62">
        <v>11.097606106064999</v>
      </c>
      <c r="AG25" s="29">
        <v>234.76160498988733</v>
      </c>
      <c r="AH25" s="29">
        <v>442.4353324809415</v>
      </c>
      <c r="AI25" s="29">
        <v>31.888668272330044</v>
      </c>
      <c r="AJ25" s="63">
        <v>60.097874820929711</v>
      </c>
    </row>
    <row r="26" spans="1:36" x14ac:dyDescent="0.2">
      <c r="A26" s="32">
        <v>45901</v>
      </c>
      <c r="B26" s="33">
        <v>34.81</v>
      </c>
      <c r="C26" s="33">
        <v>35</v>
      </c>
      <c r="D26" s="33">
        <v>34.229999999999997</v>
      </c>
      <c r="E26" s="33">
        <v>34.43</v>
      </c>
      <c r="F26" s="33">
        <v>33.409999999999997</v>
      </c>
      <c r="G26" s="33">
        <v>33.479999999999997</v>
      </c>
      <c r="H26" s="64">
        <v>60</v>
      </c>
      <c r="I26" s="64">
        <v>94.868329805051388</v>
      </c>
      <c r="J26" s="64">
        <v>5.1712906666569909</v>
      </c>
      <c r="K26" s="64">
        <v>7.1241522455853552</v>
      </c>
      <c r="L26" s="64">
        <v>0</v>
      </c>
      <c r="M26" s="64">
        <v>0.5</v>
      </c>
      <c r="N26" s="64">
        <v>7</v>
      </c>
      <c r="O26" s="64">
        <v>7</v>
      </c>
      <c r="P26" s="64">
        <v>7</v>
      </c>
      <c r="Q26" s="64">
        <v>7</v>
      </c>
      <c r="R26" s="64">
        <v>8.0665269212114449E-2</v>
      </c>
      <c r="S26" s="64">
        <v>1.9965805322483872</v>
      </c>
      <c r="T26" s="64">
        <v>0.270880313560867</v>
      </c>
      <c r="U26" s="64">
        <v>7.4272795799639999</v>
      </c>
      <c r="V26" s="64">
        <v>223.640226267174</v>
      </c>
      <c r="W26" s="64">
        <v>88.401561429960736</v>
      </c>
      <c r="X26" s="64">
        <v>0.70262943286279844</v>
      </c>
      <c r="Y26" s="64">
        <v>0</v>
      </c>
      <c r="Z26" s="64">
        <v>1.0960086439366738E-2</v>
      </c>
      <c r="AA26" s="64">
        <v>0.98146217058552587</v>
      </c>
      <c r="AB26" s="64">
        <v>0.98146217058552587</v>
      </c>
      <c r="AC26" s="64">
        <v>0.98146217058552587</v>
      </c>
      <c r="AD26" s="64">
        <v>0.05</v>
      </c>
      <c r="AE26" s="64">
        <v>0.27127777908207834</v>
      </c>
      <c r="AF26" s="64">
        <v>11.100686788866</v>
      </c>
      <c r="AG26" s="33">
        <v>234.76293841941808</v>
      </c>
      <c r="AH26" s="33">
        <v>442.43784548274948</v>
      </c>
      <c r="AI26" s="33">
        <v>31.897520544029589</v>
      </c>
      <c r="AJ26" s="65">
        <v>60.114557948363455</v>
      </c>
    </row>
    <row r="27" spans="1:36" x14ac:dyDescent="0.2">
      <c r="A27" s="28">
        <v>45931</v>
      </c>
      <c r="B27" s="29">
        <v>34.979999999999997</v>
      </c>
      <c r="C27" s="29">
        <v>35.229999999999997</v>
      </c>
      <c r="D27" s="29">
        <v>34.409999999999997</v>
      </c>
      <c r="E27" s="29">
        <v>34.659999999999997</v>
      </c>
      <c r="F27" s="29">
        <v>33.31</v>
      </c>
      <c r="G27" s="29">
        <v>33.450000000000003</v>
      </c>
      <c r="H27" s="62">
        <v>60</v>
      </c>
      <c r="I27" s="62">
        <v>94.868329805051388</v>
      </c>
      <c r="J27" s="62">
        <v>5.1713200584856702</v>
      </c>
      <c r="K27" s="62">
        <v>11.684037269305247</v>
      </c>
      <c r="L27" s="62">
        <v>0</v>
      </c>
      <c r="M27" s="62">
        <v>0.5</v>
      </c>
      <c r="N27" s="62">
        <v>7</v>
      </c>
      <c r="O27" s="62">
        <v>7</v>
      </c>
      <c r="P27" s="62">
        <v>7</v>
      </c>
      <c r="Q27" s="62">
        <v>7</v>
      </c>
      <c r="R27" s="62">
        <v>8.1478373244215044E-2</v>
      </c>
      <c r="S27" s="62">
        <v>1.9965918801080649</v>
      </c>
      <c r="T27" s="62">
        <v>0.27088185314904695</v>
      </c>
      <c r="U27" s="62">
        <v>7.4273217940020002</v>
      </c>
      <c r="V27" s="62">
        <v>223.640226267174</v>
      </c>
      <c r="W27" s="62">
        <v>88.401561429960736</v>
      </c>
      <c r="X27" s="62">
        <v>0.70282455628280549</v>
      </c>
      <c r="Y27" s="62">
        <v>0</v>
      </c>
      <c r="Z27" s="62">
        <v>1.1073575267919182E-2</v>
      </c>
      <c r="AA27" s="62">
        <v>0.98173472713035237</v>
      </c>
      <c r="AB27" s="62">
        <v>0.98173472713035237</v>
      </c>
      <c r="AC27" s="62">
        <v>0.98173472713035237</v>
      </c>
      <c r="AD27" s="62">
        <v>0.05</v>
      </c>
      <c r="AE27" s="62">
        <v>0.27135311416515207</v>
      </c>
      <c r="AF27" s="62">
        <v>11.103769505345999</v>
      </c>
      <c r="AG27" s="29">
        <v>234.76427272917402</v>
      </c>
      <c r="AH27" s="29">
        <v>442.44036014344329</v>
      </c>
      <c r="AI27" s="29">
        <v>31.906378631736448</v>
      </c>
      <c r="AJ27" s="63">
        <v>60.131252036734082</v>
      </c>
    </row>
    <row r="28" spans="1:36" x14ac:dyDescent="0.2">
      <c r="A28" s="32">
        <v>45962</v>
      </c>
      <c r="B28" s="33">
        <v>36.56</v>
      </c>
      <c r="C28" s="33">
        <v>36.82</v>
      </c>
      <c r="D28" s="33">
        <v>35.99</v>
      </c>
      <c r="E28" s="33">
        <v>36.25</v>
      </c>
      <c r="F28" s="33">
        <v>34.840000000000003</v>
      </c>
      <c r="G28" s="33">
        <v>34.979999999999997</v>
      </c>
      <c r="H28" s="64">
        <v>60</v>
      </c>
      <c r="I28" s="64">
        <v>94.868329805051388</v>
      </c>
      <c r="J28" s="64">
        <v>5.1713494515532519</v>
      </c>
      <c r="K28" s="64">
        <v>11.602838659142474</v>
      </c>
      <c r="L28" s="64">
        <v>0</v>
      </c>
      <c r="M28" s="64">
        <v>0.5</v>
      </c>
      <c r="N28" s="64">
        <v>7</v>
      </c>
      <c r="O28" s="64">
        <v>7</v>
      </c>
      <c r="P28" s="64">
        <v>7</v>
      </c>
      <c r="Q28" s="64">
        <v>7</v>
      </c>
      <c r="R28" s="64">
        <v>8.500257782532944E-2</v>
      </c>
      <c r="S28" s="64">
        <v>2.9949048427318554</v>
      </c>
      <c r="T28" s="64">
        <v>0.27088339280779822</v>
      </c>
      <c r="U28" s="64">
        <v>7.4273640099750002</v>
      </c>
      <c r="V28" s="64">
        <v>223.640226267174</v>
      </c>
      <c r="W28" s="64">
        <v>88.401561429960736</v>
      </c>
      <c r="X28" s="64">
        <v>0.70301968924578562</v>
      </c>
      <c r="Y28" s="64">
        <v>0</v>
      </c>
      <c r="Z28" s="64">
        <v>1.1555685180036581E-2</v>
      </c>
      <c r="AA28" s="64">
        <v>0.98200729702577449</v>
      </c>
      <c r="AB28" s="64">
        <v>0.98200729702577449</v>
      </c>
      <c r="AC28" s="64">
        <v>0.98200729702577449</v>
      </c>
      <c r="AD28" s="64">
        <v>0.05</v>
      </c>
      <c r="AE28" s="64">
        <v>0.40714267940752913</v>
      </c>
      <c r="AF28" s="64">
        <v>11.106852363052999</v>
      </c>
      <c r="AG28" s="33">
        <v>234.76560710009178</v>
      </c>
      <c r="AH28" s="33">
        <v>442.44287491940372</v>
      </c>
      <c r="AI28" s="33">
        <v>31.915237153337671</v>
      </c>
      <c r="AJ28" s="65">
        <v>60.147946942828689</v>
      </c>
    </row>
    <row r="29" spans="1:36" x14ac:dyDescent="0.2">
      <c r="A29" s="28">
        <v>45992</v>
      </c>
      <c r="B29" s="29">
        <v>37.700000000000003</v>
      </c>
      <c r="C29" s="29">
        <v>37.96</v>
      </c>
      <c r="D29" s="29">
        <v>37.119999999999997</v>
      </c>
      <c r="E29" s="29">
        <v>37.39</v>
      </c>
      <c r="F29" s="29">
        <v>35.94</v>
      </c>
      <c r="G29" s="29">
        <v>36.090000000000003</v>
      </c>
      <c r="H29" s="62">
        <v>60</v>
      </c>
      <c r="I29" s="62">
        <v>94.868329805051388</v>
      </c>
      <c r="J29" s="62">
        <v>5.1713788240738499</v>
      </c>
      <c r="K29" s="62">
        <v>9.5441790833749049</v>
      </c>
      <c r="L29" s="62">
        <v>0</v>
      </c>
      <c r="M29" s="62">
        <v>0.5</v>
      </c>
      <c r="N29" s="62">
        <v>7</v>
      </c>
      <c r="O29" s="62">
        <v>7</v>
      </c>
      <c r="P29" s="62">
        <v>7</v>
      </c>
      <c r="Q29" s="62">
        <v>7</v>
      </c>
      <c r="R29" s="62">
        <v>8.7039212359793394E-2</v>
      </c>
      <c r="S29" s="62">
        <v>2.9949218532923392</v>
      </c>
      <c r="T29" s="62">
        <v>0.2708849313803337</v>
      </c>
      <c r="U29" s="62">
        <v>7.4274061961650002</v>
      </c>
      <c r="V29" s="62">
        <v>223.640226267174</v>
      </c>
      <c r="W29" s="62">
        <v>88.401561429960736</v>
      </c>
      <c r="X29" s="62">
        <v>0.70321468396466991</v>
      </c>
      <c r="Y29" s="62">
        <v>0</v>
      </c>
      <c r="Z29" s="62">
        <v>1.1835770439440702E-2</v>
      </c>
      <c r="AA29" s="62">
        <v>0.98227967378005343</v>
      </c>
      <c r="AB29" s="62">
        <v>0.98227967378005343</v>
      </c>
      <c r="AC29" s="62">
        <v>0.98227967378005343</v>
      </c>
      <c r="AD29" s="62">
        <v>0.05</v>
      </c>
      <c r="AE29" s="62">
        <v>0.40725560749052941</v>
      </c>
      <c r="AF29" s="62">
        <v>11.109933045854</v>
      </c>
      <c r="AG29" s="29">
        <v>234.76694052962253</v>
      </c>
      <c r="AH29" s="29">
        <v>442.4453879212117</v>
      </c>
      <c r="AI29" s="29">
        <v>31.924089397851734</v>
      </c>
      <c r="AJ29" s="63">
        <v>60.164630019028273</v>
      </c>
    </row>
    <row r="30" spans="1:36" x14ac:dyDescent="0.2">
      <c r="A30" s="32">
        <v>46023</v>
      </c>
      <c r="B30" s="33">
        <v>37.619999999999997</v>
      </c>
      <c r="C30" s="33">
        <v>37.89</v>
      </c>
      <c r="D30" s="33">
        <v>37.049999999999997</v>
      </c>
      <c r="E30" s="33">
        <v>37.32</v>
      </c>
      <c r="F30" s="33">
        <v>35.869999999999997</v>
      </c>
      <c r="G30" s="33">
        <v>36.020000000000003</v>
      </c>
      <c r="H30" s="64">
        <v>60</v>
      </c>
      <c r="I30" s="64">
        <v>94.868329805051388</v>
      </c>
      <c r="J30" s="64">
        <v>5.1403630066512616</v>
      </c>
      <c r="K30" s="64">
        <v>4.2617346858917591</v>
      </c>
      <c r="L30" s="64">
        <v>0</v>
      </c>
      <c r="M30" s="64">
        <v>0.5</v>
      </c>
      <c r="N30" s="64">
        <v>7</v>
      </c>
      <c r="O30" s="64">
        <v>7</v>
      </c>
      <c r="P30" s="64">
        <v>7</v>
      </c>
      <c r="Q30" s="64">
        <v>7</v>
      </c>
      <c r="R30" s="64">
        <v>8.5542384471807661E-2</v>
      </c>
      <c r="S30" s="64">
        <v>2.9947895764120975</v>
      </c>
      <c r="T30" s="64">
        <v>0.27087296719048742</v>
      </c>
      <c r="U30" s="64">
        <v>7.427078149502</v>
      </c>
      <c r="V30" s="64">
        <v>223.640226267174</v>
      </c>
      <c r="W30" s="64">
        <v>88.401561429960736</v>
      </c>
      <c r="X30" s="64">
        <v>0.69918172001959367</v>
      </c>
      <c r="Y30" s="64">
        <v>0</v>
      </c>
      <c r="Z30" s="64">
        <v>1.1635301154834726E-2</v>
      </c>
      <c r="AA30" s="64">
        <v>0.98249573353476982</v>
      </c>
      <c r="AB30" s="64">
        <v>0.98249573353476982</v>
      </c>
      <c r="AC30" s="64">
        <v>0.98249573353476982</v>
      </c>
      <c r="AD30" s="64">
        <v>0.05</v>
      </c>
      <c r="AE30" s="64">
        <v>0.40734518640477357</v>
      </c>
      <c r="AF30" s="64">
        <v>11.112376707043</v>
      </c>
      <c r="AG30" s="33">
        <v>234.75657156508908</v>
      </c>
      <c r="AH30" s="33">
        <v>442.42584641112944</v>
      </c>
      <c r="AI30" s="33">
        <v>31.931111339880019</v>
      </c>
      <c r="AJ30" s="65">
        <v>60.177863679004652</v>
      </c>
    </row>
    <row r="31" spans="1:36" x14ac:dyDescent="0.2">
      <c r="A31" s="28">
        <v>46054</v>
      </c>
      <c r="B31" s="29">
        <v>37.21</v>
      </c>
      <c r="C31" s="29">
        <v>37.479999999999997</v>
      </c>
      <c r="D31" s="29">
        <v>36.6</v>
      </c>
      <c r="E31" s="29">
        <v>36.86</v>
      </c>
      <c r="F31" s="29">
        <v>35.43</v>
      </c>
      <c r="G31" s="29">
        <v>35.58</v>
      </c>
      <c r="H31" s="62">
        <v>60</v>
      </c>
      <c r="I31" s="62">
        <v>94.868329805051388</v>
      </c>
      <c r="J31" s="62">
        <v>5.550537648262897</v>
      </c>
      <c r="K31" s="62">
        <v>11.92633367279932</v>
      </c>
      <c r="L31" s="62">
        <v>0</v>
      </c>
      <c r="M31" s="62">
        <v>0.5</v>
      </c>
      <c r="N31" s="62">
        <v>7</v>
      </c>
      <c r="O31" s="62">
        <v>7</v>
      </c>
      <c r="P31" s="62">
        <v>7</v>
      </c>
      <c r="Q31" s="62">
        <v>7</v>
      </c>
      <c r="R31" s="62">
        <v>8.6537684409794188E-2</v>
      </c>
      <c r="S31" s="62">
        <v>2.994511882188307</v>
      </c>
      <c r="T31" s="62">
        <v>0.27084785028111846</v>
      </c>
      <c r="U31" s="62">
        <v>7.4263894678269997</v>
      </c>
      <c r="V31" s="62">
        <v>223.640226267174</v>
      </c>
      <c r="W31" s="62">
        <v>88.401561429960736</v>
      </c>
      <c r="X31" s="62">
        <v>0.75515343801128987</v>
      </c>
      <c r="Y31" s="62">
        <v>0</v>
      </c>
      <c r="Z31" s="62">
        <v>1.1773495496464578E-2</v>
      </c>
      <c r="AA31" s="62">
        <v>0.98263963254929809</v>
      </c>
      <c r="AB31" s="62">
        <v>0.98263963254929809</v>
      </c>
      <c r="AC31" s="62">
        <v>0.98263963254929809</v>
      </c>
      <c r="AD31" s="62">
        <v>0.05</v>
      </c>
      <c r="AE31" s="62">
        <v>0.40740484729580428</v>
      </c>
      <c r="AF31" s="62">
        <v>11.114004252119001</v>
      </c>
      <c r="AG31" s="29">
        <v>234.73480357696937</v>
      </c>
      <c r="AH31" s="29">
        <v>442.38482212582682</v>
      </c>
      <c r="AI31" s="29">
        <v>31.935788057852189</v>
      </c>
      <c r="AJ31" s="63">
        <v>60.186677493644517</v>
      </c>
    </row>
    <row r="32" spans="1:36" x14ac:dyDescent="0.2">
      <c r="A32" s="32">
        <v>46082</v>
      </c>
      <c r="B32" s="33">
        <v>35.5</v>
      </c>
      <c r="C32" s="33">
        <v>35.76</v>
      </c>
      <c r="D32" s="33">
        <v>34.89</v>
      </c>
      <c r="E32" s="33">
        <v>35.14</v>
      </c>
      <c r="F32" s="33">
        <v>33.78</v>
      </c>
      <c r="G32" s="33">
        <v>33.92</v>
      </c>
      <c r="H32" s="64">
        <v>60</v>
      </c>
      <c r="I32" s="64">
        <v>94.868329805051388</v>
      </c>
      <c r="J32" s="64">
        <v>5.5500232752977929</v>
      </c>
      <c r="K32" s="64">
        <v>13.414753582921445</v>
      </c>
      <c r="L32" s="64">
        <v>0</v>
      </c>
      <c r="M32" s="64">
        <v>0.5</v>
      </c>
      <c r="N32" s="64">
        <v>7</v>
      </c>
      <c r="O32" s="64">
        <v>7</v>
      </c>
      <c r="P32" s="64">
        <v>7</v>
      </c>
      <c r="Q32" s="64">
        <v>7</v>
      </c>
      <c r="R32" s="64">
        <v>8.3065390532941652E-2</v>
      </c>
      <c r="S32" s="64">
        <v>2.9942343780052427</v>
      </c>
      <c r="T32" s="64">
        <v>0.27082275056056837</v>
      </c>
      <c r="U32" s="64">
        <v>7.4257012574530004</v>
      </c>
      <c r="V32" s="64">
        <v>223.640226267174</v>
      </c>
      <c r="W32" s="64">
        <v>88.401561429960736</v>
      </c>
      <c r="X32" s="64">
        <v>0.75526394750110148</v>
      </c>
      <c r="Y32" s="64">
        <v>0</v>
      </c>
      <c r="Z32" s="64">
        <v>1.1303789509663631E-2</v>
      </c>
      <c r="AA32" s="64">
        <v>0.98278343238362253</v>
      </c>
      <c r="AB32" s="64">
        <v>0.98278343238362253</v>
      </c>
      <c r="AC32" s="64">
        <v>0.98278343238362253</v>
      </c>
      <c r="AD32" s="64">
        <v>0.05</v>
      </c>
      <c r="AE32" s="64">
        <v>0.40746446706647449</v>
      </c>
      <c r="AF32" s="64">
        <v>11.115630683379001</v>
      </c>
      <c r="AG32" s="33">
        <v>234.7130504858259</v>
      </c>
      <c r="AH32" s="33">
        <v>442.34382591559489</v>
      </c>
      <c r="AI32" s="33">
        <v>31.940461552467731</v>
      </c>
      <c r="AJ32" s="65">
        <v>60.195485233496882</v>
      </c>
    </row>
    <row r="33" spans="1:36" x14ac:dyDescent="0.2">
      <c r="A33" s="28">
        <v>46113</v>
      </c>
      <c r="B33" s="29">
        <v>32.49</v>
      </c>
      <c r="C33" s="29">
        <v>32.869999999999997</v>
      </c>
      <c r="D33" s="29">
        <v>31.88</v>
      </c>
      <c r="E33" s="29">
        <v>32.25</v>
      </c>
      <c r="F33" s="29">
        <v>31</v>
      </c>
      <c r="G33" s="29">
        <v>31.3</v>
      </c>
      <c r="H33" s="62">
        <v>60</v>
      </c>
      <c r="I33" s="62">
        <v>94.868329805051388</v>
      </c>
      <c r="J33" s="62">
        <v>5.5494914760758638</v>
      </c>
      <c r="K33" s="62">
        <v>3.9897395141938108</v>
      </c>
      <c r="L33" s="62">
        <v>0</v>
      </c>
      <c r="M33" s="62">
        <v>0.5</v>
      </c>
      <c r="N33" s="62">
        <v>7</v>
      </c>
      <c r="O33" s="62">
        <v>7</v>
      </c>
      <c r="P33" s="62">
        <v>7</v>
      </c>
      <c r="Q33" s="62">
        <v>7</v>
      </c>
      <c r="R33" s="62">
        <v>7.4371623887559718E-2</v>
      </c>
      <c r="S33" s="62">
        <v>1.9959649817336025</v>
      </c>
      <c r="T33" s="62">
        <v>0.27079680051755906</v>
      </c>
      <c r="U33" s="62">
        <v>7.4249897320490001</v>
      </c>
      <c r="V33" s="62">
        <v>223.640226267174</v>
      </c>
      <c r="W33" s="62">
        <v>88.401561429960736</v>
      </c>
      <c r="X33" s="62">
        <v>0.7553782011042981</v>
      </c>
      <c r="Y33" s="62">
        <v>0</v>
      </c>
      <c r="Z33" s="62">
        <v>1.012321648054873E-2</v>
      </c>
      <c r="AA33" s="62">
        <v>0.98293210430347022</v>
      </c>
      <c r="AB33" s="62">
        <v>0.98293210430347022</v>
      </c>
      <c r="AC33" s="62">
        <v>0.98293210430347022</v>
      </c>
      <c r="AD33" s="62">
        <v>0.05</v>
      </c>
      <c r="AE33" s="62">
        <v>0.27168407121065208</v>
      </c>
      <c r="AF33" s="62">
        <v>11.117312214498</v>
      </c>
      <c r="AG33" s="29">
        <v>234.6905604485512</v>
      </c>
      <c r="AH33" s="29">
        <v>442.30144084534641</v>
      </c>
      <c r="AI33" s="29">
        <v>31.945293389862783</v>
      </c>
      <c r="AJ33" s="63">
        <v>60.204591388587545</v>
      </c>
    </row>
    <row r="34" spans="1:36" x14ac:dyDescent="0.2">
      <c r="A34" s="32">
        <v>46143</v>
      </c>
      <c r="B34" s="33">
        <v>30.67</v>
      </c>
      <c r="C34" s="33">
        <v>31.03</v>
      </c>
      <c r="D34" s="33">
        <v>30.06</v>
      </c>
      <c r="E34" s="33">
        <v>30.41</v>
      </c>
      <c r="F34" s="33">
        <v>29.24</v>
      </c>
      <c r="G34" s="33">
        <v>29.51</v>
      </c>
      <c r="H34" s="64">
        <v>60</v>
      </c>
      <c r="I34" s="64">
        <v>94.868329805051388</v>
      </c>
      <c r="J34" s="64">
        <v>5.5489593018956249</v>
      </c>
      <c r="K34" s="64">
        <v>4.6482326262861244</v>
      </c>
      <c r="L34" s="64">
        <v>0</v>
      </c>
      <c r="M34" s="64">
        <v>0.5</v>
      </c>
      <c r="N34" s="64">
        <v>7</v>
      </c>
      <c r="O34" s="64">
        <v>7</v>
      </c>
      <c r="P34" s="64">
        <v>7</v>
      </c>
      <c r="Q34" s="64">
        <v>7</v>
      </c>
      <c r="R34" s="64">
        <v>7.0422519915237611E-2</v>
      </c>
      <c r="S34" s="64">
        <v>1.9957735766752689</v>
      </c>
      <c r="T34" s="64">
        <v>0.27077083218751624</v>
      </c>
      <c r="U34" s="64">
        <v>7.4242777052319999</v>
      </c>
      <c r="V34" s="64">
        <v>223.640226267174</v>
      </c>
      <c r="W34" s="64">
        <v>88.401561429960736</v>
      </c>
      <c r="X34" s="64">
        <v>0.75549253501836056</v>
      </c>
      <c r="Y34" s="64">
        <v>0</v>
      </c>
      <c r="Z34" s="64">
        <v>9.5880480110580053E-3</v>
      </c>
      <c r="AA34" s="64">
        <v>0.98308088076260614</v>
      </c>
      <c r="AB34" s="64">
        <v>0.98308088076260614</v>
      </c>
      <c r="AC34" s="64">
        <v>0.98308088076260614</v>
      </c>
      <c r="AD34" s="64">
        <v>0.05</v>
      </c>
      <c r="AE34" s="64">
        <v>0.27172519327182132</v>
      </c>
      <c r="AF34" s="64">
        <v>11.118994930593001</v>
      </c>
      <c r="AG34" s="33">
        <v>234.66805456251407</v>
      </c>
      <c r="AH34" s="33">
        <v>442.25902590627652</v>
      </c>
      <c r="AI34" s="33">
        <v>31.950128624784696</v>
      </c>
      <c r="AJ34" s="65">
        <v>60.213703946709629</v>
      </c>
    </row>
    <row r="35" spans="1:36" x14ac:dyDescent="0.2">
      <c r="A35" s="28">
        <v>46174</v>
      </c>
      <c r="B35" s="29">
        <v>30.11</v>
      </c>
      <c r="C35" s="29">
        <v>30.46</v>
      </c>
      <c r="D35" s="29">
        <v>29.5</v>
      </c>
      <c r="E35" s="29">
        <v>29.85</v>
      </c>
      <c r="F35" s="29">
        <v>28.69</v>
      </c>
      <c r="G35" s="29">
        <v>28.97</v>
      </c>
      <c r="H35" s="62">
        <v>60</v>
      </c>
      <c r="I35" s="62">
        <v>94.868329805051388</v>
      </c>
      <c r="J35" s="62">
        <v>5.5484271279139605</v>
      </c>
      <c r="K35" s="62">
        <v>7.6440299773563982</v>
      </c>
      <c r="L35" s="62">
        <v>0</v>
      </c>
      <c r="M35" s="62">
        <v>0.5</v>
      </c>
      <c r="N35" s="62">
        <v>7</v>
      </c>
      <c r="O35" s="62">
        <v>7</v>
      </c>
      <c r="P35" s="62">
        <v>7</v>
      </c>
      <c r="Q35" s="62">
        <v>7</v>
      </c>
      <c r="R35" s="62">
        <v>6.9901350788380903E-2</v>
      </c>
      <c r="S35" s="62">
        <v>1.9955821716169355</v>
      </c>
      <c r="T35" s="62">
        <v>0.27074486385747343</v>
      </c>
      <c r="U35" s="62">
        <v>7.4235656784149997</v>
      </c>
      <c r="V35" s="62">
        <v>223.640226267174</v>
      </c>
      <c r="W35" s="62">
        <v>88.401561429960736</v>
      </c>
      <c r="X35" s="62">
        <v>0.75560686914930986</v>
      </c>
      <c r="Y35" s="62">
        <v>0</v>
      </c>
      <c r="Z35" s="62">
        <v>9.5194439249292936E-3</v>
      </c>
      <c r="AA35" s="62">
        <v>0.98322965746878843</v>
      </c>
      <c r="AB35" s="62">
        <v>0.98322965746878843</v>
      </c>
      <c r="AC35" s="62">
        <v>0.98322965746878843</v>
      </c>
      <c r="AD35" s="62">
        <v>0.05</v>
      </c>
      <c r="AE35" s="62">
        <v>0.27176631540127455</v>
      </c>
      <c r="AF35" s="62">
        <v>11.120677646689</v>
      </c>
      <c r="AG35" s="29">
        <v>234.64554867647695</v>
      </c>
      <c r="AH35" s="29">
        <v>442.21661096720658</v>
      </c>
      <c r="AI35" s="29">
        <v>31.954963867735625</v>
      </c>
      <c r="AJ35" s="63">
        <v>60.222816519963295</v>
      </c>
    </row>
    <row r="36" spans="1:36" x14ac:dyDescent="0.2">
      <c r="A36" s="32">
        <v>46204</v>
      </c>
      <c r="B36" s="33">
        <v>29.53</v>
      </c>
      <c r="C36" s="33">
        <v>29.87</v>
      </c>
      <c r="D36" s="33">
        <v>28.91</v>
      </c>
      <c r="E36" s="33">
        <v>29.26</v>
      </c>
      <c r="F36" s="33">
        <v>28.12</v>
      </c>
      <c r="G36" s="33">
        <v>28.39</v>
      </c>
      <c r="H36" s="64">
        <v>60</v>
      </c>
      <c r="I36" s="64">
        <v>94.868329805051388</v>
      </c>
      <c r="J36" s="64">
        <v>5.5478949538691191</v>
      </c>
      <c r="K36" s="64">
        <v>14.32102957123533</v>
      </c>
      <c r="L36" s="64">
        <v>0</v>
      </c>
      <c r="M36" s="64">
        <v>0.5</v>
      </c>
      <c r="N36" s="64">
        <v>7</v>
      </c>
      <c r="O36" s="64">
        <v>7</v>
      </c>
      <c r="P36" s="64">
        <v>7</v>
      </c>
      <c r="Q36" s="64">
        <v>7</v>
      </c>
      <c r="R36" s="64">
        <v>7.0244324814409648E-2</v>
      </c>
      <c r="S36" s="64">
        <v>1.9953907665586024</v>
      </c>
      <c r="T36" s="64">
        <v>0.27071889552743061</v>
      </c>
      <c r="U36" s="64">
        <v>7.4228536515980004</v>
      </c>
      <c r="V36" s="64">
        <v>223.640226267174</v>
      </c>
      <c r="W36" s="64">
        <v>88.401561429960736</v>
      </c>
      <c r="X36" s="64">
        <v>0.75572120307612911</v>
      </c>
      <c r="Y36" s="64">
        <v>0</v>
      </c>
      <c r="Z36" s="64">
        <v>9.5685167444536055E-3</v>
      </c>
      <c r="AA36" s="64">
        <v>0.98337843392054136</v>
      </c>
      <c r="AB36" s="64">
        <v>0.98337843392054136</v>
      </c>
      <c r="AC36" s="64">
        <v>0.98337843392054136</v>
      </c>
      <c r="AD36" s="64">
        <v>0.05</v>
      </c>
      <c r="AE36" s="64">
        <v>0.27180743746040303</v>
      </c>
      <c r="AF36" s="64">
        <v>11.122360362785001</v>
      </c>
      <c r="AG36" s="33">
        <v>234.62304279043988</v>
      </c>
      <c r="AH36" s="33">
        <v>442.17419602813675</v>
      </c>
      <c r="AI36" s="33">
        <v>31.959799102417591</v>
      </c>
      <c r="AJ36" s="65">
        <v>60.231929077633154</v>
      </c>
    </row>
    <row r="37" spans="1:36" x14ac:dyDescent="0.2">
      <c r="A37" s="28">
        <v>46235</v>
      </c>
      <c r="B37" s="29">
        <v>30.57</v>
      </c>
      <c r="C37" s="29">
        <v>30.92</v>
      </c>
      <c r="D37" s="29">
        <v>29.95</v>
      </c>
      <c r="E37" s="29">
        <v>30.31</v>
      </c>
      <c r="F37" s="29">
        <v>29.13</v>
      </c>
      <c r="G37" s="29">
        <v>29.41</v>
      </c>
      <c r="H37" s="62">
        <v>60</v>
      </c>
      <c r="I37" s="62">
        <v>94.868329805051388</v>
      </c>
      <c r="J37" s="62">
        <v>5.5473540554971699</v>
      </c>
      <c r="K37" s="62">
        <v>12.524039704581549</v>
      </c>
      <c r="L37" s="62">
        <v>0</v>
      </c>
      <c r="M37" s="62">
        <v>0.5</v>
      </c>
      <c r="N37" s="62">
        <v>7</v>
      </c>
      <c r="O37" s="62">
        <v>7</v>
      </c>
      <c r="P37" s="62">
        <v>7</v>
      </c>
      <c r="Q37" s="62">
        <v>7</v>
      </c>
      <c r="R37" s="62">
        <v>7.2134579543341681E-2</v>
      </c>
      <c r="S37" s="62">
        <v>1.9951962237123657</v>
      </c>
      <c r="T37" s="62">
        <v>0.27069250148705087</v>
      </c>
      <c r="U37" s="62">
        <v>7.4221299522099997</v>
      </c>
      <c r="V37" s="62">
        <v>223.640226267174</v>
      </c>
      <c r="W37" s="62">
        <v>88.401561429960736</v>
      </c>
      <c r="X37" s="62">
        <v>0.75583741140992577</v>
      </c>
      <c r="Y37" s="62">
        <v>0</v>
      </c>
      <c r="Z37" s="62">
        <v>9.8284719952716794E-3</v>
      </c>
      <c r="AA37" s="62">
        <v>0.9835296494637904</v>
      </c>
      <c r="AB37" s="62">
        <v>0.9835296494637904</v>
      </c>
      <c r="AC37" s="62">
        <v>0.9835296494637904</v>
      </c>
      <c r="AD37" s="62">
        <v>0.05</v>
      </c>
      <c r="AE37" s="62">
        <v>0.27184923368848474</v>
      </c>
      <c r="AF37" s="62">
        <v>11.12407066439</v>
      </c>
      <c r="AG37" s="29">
        <v>234.60016795544411</v>
      </c>
      <c r="AH37" s="29">
        <v>442.13108576218303</v>
      </c>
      <c r="AI37" s="29">
        <v>31.964713607573188</v>
      </c>
      <c r="AJ37" s="63">
        <v>60.241191029657159</v>
      </c>
    </row>
    <row r="38" spans="1:36" x14ac:dyDescent="0.2">
      <c r="A38" s="32">
        <v>46266</v>
      </c>
      <c r="B38" s="33">
        <v>30.91</v>
      </c>
      <c r="C38" s="33">
        <v>31.27</v>
      </c>
      <c r="D38" s="33">
        <v>30.3</v>
      </c>
      <c r="E38" s="33">
        <v>30.66</v>
      </c>
      <c r="F38" s="33">
        <v>29.47</v>
      </c>
      <c r="G38" s="33">
        <v>29.75</v>
      </c>
      <c r="H38" s="64">
        <v>60</v>
      </c>
      <c r="I38" s="64">
        <v>94.868329805051388</v>
      </c>
      <c r="J38" s="64">
        <v>5.5468218818132353</v>
      </c>
      <c r="K38" s="64">
        <v>11.575505439918023</v>
      </c>
      <c r="L38" s="64">
        <v>0</v>
      </c>
      <c r="M38" s="64">
        <v>0.5</v>
      </c>
      <c r="N38" s="64">
        <v>7</v>
      </c>
      <c r="O38" s="64">
        <v>7</v>
      </c>
      <c r="P38" s="64">
        <v>7</v>
      </c>
      <c r="Q38" s="64">
        <v>7</v>
      </c>
      <c r="R38" s="64">
        <v>7.266899253628066E-2</v>
      </c>
      <c r="S38" s="64">
        <v>1.9950048186540326</v>
      </c>
      <c r="T38" s="64">
        <v>0.27066653315700806</v>
      </c>
      <c r="U38" s="64">
        <v>7.4214179253930004</v>
      </c>
      <c r="V38" s="64">
        <v>223.640226267174</v>
      </c>
      <c r="W38" s="64">
        <v>88.401561429960736</v>
      </c>
      <c r="X38" s="64">
        <v>0.75595174557325484</v>
      </c>
      <c r="Y38" s="64">
        <v>0</v>
      </c>
      <c r="Z38" s="64">
        <v>9.9037346121324549E-3</v>
      </c>
      <c r="AA38" s="64">
        <v>0.98367842615930556</v>
      </c>
      <c r="AB38" s="64">
        <v>0.98367842615930556</v>
      </c>
      <c r="AC38" s="64">
        <v>0.98367842615930556</v>
      </c>
      <c r="AD38" s="64">
        <v>0.05</v>
      </c>
      <c r="AE38" s="64">
        <v>0.27189035581498949</v>
      </c>
      <c r="AF38" s="64">
        <v>11.125753380485</v>
      </c>
      <c r="AG38" s="33">
        <v>234.57766206940701</v>
      </c>
      <c r="AH38" s="33">
        <v>442.0886708231132</v>
      </c>
      <c r="AI38" s="33">
        <v>31.969548850177425</v>
      </c>
      <c r="AJ38" s="65">
        <v>60.250303602257461</v>
      </c>
    </row>
    <row r="39" spans="1:36" x14ac:dyDescent="0.2">
      <c r="A39" s="28">
        <v>46296</v>
      </c>
      <c r="B39" s="29">
        <v>31.4</v>
      </c>
      <c r="C39" s="29">
        <v>31.89</v>
      </c>
      <c r="D39" s="29">
        <v>30.78</v>
      </c>
      <c r="E39" s="29">
        <v>31.28</v>
      </c>
      <c r="F39" s="29">
        <v>29.66</v>
      </c>
      <c r="G39" s="29">
        <v>30.08</v>
      </c>
      <c r="H39" s="62">
        <v>60</v>
      </c>
      <c r="I39" s="62">
        <v>94.868329805051388</v>
      </c>
      <c r="J39" s="62">
        <v>5.5462893553323758</v>
      </c>
      <c r="K39" s="62">
        <v>21.317453791191081</v>
      </c>
      <c r="L39" s="62">
        <v>0</v>
      </c>
      <c r="M39" s="62">
        <v>0.5</v>
      </c>
      <c r="N39" s="62">
        <v>7</v>
      </c>
      <c r="O39" s="62">
        <v>7</v>
      </c>
      <c r="P39" s="62">
        <v>7</v>
      </c>
      <c r="Q39" s="62">
        <v>7</v>
      </c>
      <c r="R39" s="62">
        <v>7.5542082403338623E-2</v>
      </c>
      <c r="S39" s="62">
        <v>1.9948132872419355</v>
      </c>
      <c r="T39" s="62">
        <v>0.27064054768428231</v>
      </c>
      <c r="U39" s="62">
        <v>7.4207054285399998</v>
      </c>
      <c r="V39" s="62">
        <v>223.640226267174</v>
      </c>
      <c r="W39" s="62">
        <v>88.401561429960736</v>
      </c>
      <c r="X39" s="62">
        <v>0.75606615482319306</v>
      </c>
      <c r="Y39" s="62">
        <v>0</v>
      </c>
      <c r="Z39" s="62">
        <v>1.0297842074873994E-2</v>
      </c>
      <c r="AA39" s="62">
        <v>0.98382730082491754</v>
      </c>
      <c r="AB39" s="62">
        <v>0.98382730082491754</v>
      </c>
      <c r="AC39" s="62">
        <v>0.98382730082491754</v>
      </c>
      <c r="AD39" s="62">
        <v>0.05</v>
      </c>
      <c r="AE39" s="62">
        <v>0.27193150502059238</v>
      </c>
      <c r="AF39" s="62">
        <v>11.127437207407</v>
      </c>
      <c r="AG39" s="29">
        <v>234.55514132637799</v>
      </c>
      <c r="AH39" s="29">
        <v>442.04622788432778</v>
      </c>
      <c r="AI39" s="29">
        <v>31.974387276809818</v>
      </c>
      <c r="AJ39" s="63">
        <v>60.259422175526197</v>
      </c>
    </row>
    <row r="40" spans="1:36" x14ac:dyDescent="0.2">
      <c r="A40" s="32">
        <v>46327</v>
      </c>
      <c r="B40" s="33">
        <v>32.29</v>
      </c>
      <c r="C40" s="33">
        <v>32.799999999999997</v>
      </c>
      <c r="D40" s="33">
        <v>31.67</v>
      </c>
      <c r="E40" s="33">
        <v>32.19</v>
      </c>
      <c r="F40" s="33">
        <v>30.52</v>
      </c>
      <c r="G40" s="33">
        <v>30.95</v>
      </c>
      <c r="H40" s="64">
        <v>60</v>
      </c>
      <c r="I40" s="64">
        <v>94.868329805051388</v>
      </c>
      <c r="J40" s="64">
        <v>5.5457568097589105</v>
      </c>
      <c r="K40" s="64">
        <v>12.890273613035724</v>
      </c>
      <c r="L40" s="64">
        <v>0</v>
      </c>
      <c r="M40" s="64">
        <v>0.5</v>
      </c>
      <c r="N40" s="64">
        <v>7</v>
      </c>
      <c r="O40" s="64">
        <v>7</v>
      </c>
      <c r="P40" s="64">
        <v>7</v>
      </c>
      <c r="Q40" s="64">
        <v>7</v>
      </c>
      <c r="R40" s="64">
        <v>7.5424327987589454E-2</v>
      </c>
      <c r="S40" s="64">
        <v>2.991932620582662</v>
      </c>
      <c r="T40" s="64">
        <v>0.27061456102107018</v>
      </c>
      <c r="U40" s="64">
        <v>7.4199928990449999</v>
      </c>
      <c r="V40" s="64">
        <v>223.640226267174</v>
      </c>
      <c r="W40" s="64">
        <v>88.401561429960736</v>
      </c>
      <c r="X40" s="64">
        <v>0.7561805702382931</v>
      </c>
      <c r="Y40" s="64">
        <v>0</v>
      </c>
      <c r="Z40" s="64">
        <v>1.0284333303596079E-2</v>
      </c>
      <c r="AA40" s="64">
        <v>0.9839761825718869</v>
      </c>
      <c r="AB40" s="64">
        <v>0.9839761825718869</v>
      </c>
      <c r="AC40" s="64">
        <v>0.9839761825718869</v>
      </c>
      <c r="AD40" s="64">
        <v>0.05</v>
      </c>
      <c r="AE40" s="64">
        <v>0.4079589842752413</v>
      </c>
      <c r="AF40" s="64">
        <v>11.129121111469001</v>
      </c>
      <c r="AG40" s="33">
        <v>234.53261955159417</v>
      </c>
      <c r="AH40" s="33">
        <v>442.00378300108127</v>
      </c>
      <c r="AI40" s="33">
        <v>31.979225933586324</v>
      </c>
      <c r="AJ40" s="65">
        <v>60.268541182528068</v>
      </c>
    </row>
    <row r="41" spans="1:36" x14ac:dyDescent="0.2">
      <c r="A41" s="28">
        <v>46357</v>
      </c>
      <c r="B41" s="29">
        <v>33.28</v>
      </c>
      <c r="C41" s="29">
        <v>33.81</v>
      </c>
      <c r="D41" s="29">
        <v>32.67</v>
      </c>
      <c r="E41" s="29">
        <v>33.200000000000003</v>
      </c>
      <c r="F41" s="29">
        <v>31.47</v>
      </c>
      <c r="G41" s="29">
        <v>31.93</v>
      </c>
      <c r="H41" s="62">
        <v>60</v>
      </c>
      <c r="I41" s="62">
        <v>94.868329805051388</v>
      </c>
      <c r="J41" s="62">
        <v>5.545224636417295</v>
      </c>
      <c r="K41" s="62">
        <v>13.502370777068148</v>
      </c>
      <c r="L41" s="62">
        <v>0</v>
      </c>
      <c r="M41" s="62">
        <v>0.5</v>
      </c>
      <c r="N41" s="62">
        <v>7</v>
      </c>
      <c r="O41" s="62">
        <v>7</v>
      </c>
      <c r="P41" s="62">
        <v>7</v>
      </c>
      <c r="Q41" s="62">
        <v>7</v>
      </c>
      <c r="R41" s="62">
        <v>7.7791505114482323E-2</v>
      </c>
      <c r="S41" s="62">
        <v>2.9916455129951616</v>
      </c>
      <c r="T41" s="62">
        <v>0.27058859269102736</v>
      </c>
      <c r="U41" s="62">
        <v>7.4192808722279997</v>
      </c>
      <c r="V41" s="62">
        <v>223.640226267174</v>
      </c>
      <c r="W41" s="62">
        <v>88.401561429960736</v>
      </c>
      <c r="X41" s="62">
        <v>0.75629490425755841</v>
      </c>
      <c r="Y41" s="62">
        <v>0</v>
      </c>
      <c r="Z41" s="62">
        <v>1.0609726906667918E-2</v>
      </c>
      <c r="AA41" s="62">
        <v>0.984124959018993</v>
      </c>
      <c r="AB41" s="62">
        <v>0.984124959018993</v>
      </c>
      <c r="AC41" s="62">
        <v>0.984124959018993</v>
      </c>
      <c r="AD41" s="62">
        <v>0.05</v>
      </c>
      <c r="AE41" s="62">
        <v>0.40802066736200748</v>
      </c>
      <c r="AF41" s="62">
        <v>11.130803827564</v>
      </c>
      <c r="AG41" s="29">
        <v>234.51011366555704</v>
      </c>
      <c r="AH41" s="29">
        <v>441.96136806201133</v>
      </c>
      <c r="AI41" s="29">
        <v>31.984061168117268</v>
      </c>
      <c r="AJ41" s="63">
        <v>60.277653739913319</v>
      </c>
    </row>
    <row r="42" spans="1:36" x14ac:dyDescent="0.2">
      <c r="A42" s="32">
        <v>46388</v>
      </c>
      <c r="B42" s="33">
        <v>33.81</v>
      </c>
      <c r="C42" s="33">
        <v>34.35</v>
      </c>
      <c r="D42" s="33">
        <v>33.4</v>
      </c>
      <c r="E42" s="33">
        <v>33.94</v>
      </c>
      <c r="F42" s="33">
        <v>32.18</v>
      </c>
      <c r="G42" s="33">
        <v>32.64</v>
      </c>
      <c r="H42" s="64">
        <v>60</v>
      </c>
      <c r="I42" s="64">
        <v>94.868329805051388</v>
      </c>
      <c r="J42" s="64">
        <v>3.642353448785856</v>
      </c>
      <c r="K42" s="64">
        <v>1.5422045293868183</v>
      </c>
      <c r="L42" s="64">
        <v>0</v>
      </c>
      <c r="M42" s="64">
        <v>0.5</v>
      </c>
      <c r="N42" s="64">
        <v>7</v>
      </c>
      <c r="O42" s="64">
        <v>7</v>
      </c>
      <c r="P42" s="64">
        <v>7</v>
      </c>
      <c r="Q42" s="64">
        <v>7</v>
      </c>
      <c r="R42" s="64">
        <v>7.5964542268315602E-2</v>
      </c>
      <c r="S42" s="64">
        <v>2.9913536987262104</v>
      </c>
      <c r="T42" s="64">
        <v>0.27056219865068409</v>
      </c>
      <c r="U42" s="64">
        <v>7.418557172841</v>
      </c>
      <c r="V42" s="64">
        <v>223.640226267174</v>
      </c>
      <c r="W42" s="64">
        <v>88.401561429960736</v>
      </c>
      <c r="X42" s="64">
        <v>0.49689337657809685</v>
      </c>
      <c r="Y42" s="64">
        <v>0</v>
      </c>
      <c r="Z42" s="64">
        <v>1.0363156270454237E-2</v>
      </c>
      <c r="AA42" s="64">
        <v>0.98427617456507754</v>
      </c>
      <c r="AB42" s="64">
        <v>0.98427617456507754</v>
      </c>
      <c r="AC42" s="64">
        <v>0.98427617456507754</v>
      </c>
      <c r="AD42" s="64">
        <v>0.05</v>
      </c>
      <c r="AE42" s="64">
        <v>0.40808336170530551</v>
      </c>
      <c r="AF42" s="64">
        <v>11.13251412917</v>
      </c>
      <c r="AG42" s="33">
        <v>234.48723883059287</v>
      </c>
      <c r="AH42" s="33">
        <v>441.91825779611736</v>
      </c>
      <c r="AI42" s="33">
        <v>31.988975673365022</v>
      </c>
      <c r="AJ42" s="65">
        <v>60.286915692110995</v>
      </c>
    </row>
    <row r="43" spans="1:36" x14ac:dyDescent="0.2">
      <c r="A43" s="28">
        <v>46419</v>
      </c>
      <c r="B43" s="29">
        <v>33.5</v>
      </c>
      <c r="C43" s="29">
        <v>34.04</v>
      </c>
      <c r="D43" s="29">
        <v>33.049999999999997</v>
      </c>
      <c r="E43" s="29">
        <v>33.590000000000003</v>
      </c>
      <c r="F43" s="29">
        <v>31.84</v>
      </c>
      <c r="G43" s="29">
        <v>32.299999999999997</v>
      </c>
      <c r="H43" s="62">
        <v>60</v>
      </c>
      <c r="I43" s="62">
        <v>94.868329805051388</v>
      </c>
      <c r="J43" s="62">
        <v>4.0608091967457618</v>
      </c>
      <c r="K43" s="62">
        <v>3.4177851155848802</v>
      </c>
      <c r="L43" s="62">
        <v>0</v>
      </c>
      <c r="M43" s="62">
        <v>0.5</v>
      </c>
      <c r="N43" s="62">
        <v>7</v>
      </c>
      <c r="O43" s="62">
        <v>7</v>
      </c>
      <c r="P43" s="62">
        <v>7</v>
      </c>
      <c r="Q43" s="62">
        <v>7</v>
      </c>
      <c r="R43" s="62">
        <v>7.574205322815955E-2</v>
      </c>
      <c r="S43" s="62">
        <v>2.9910760045020166</v>
      </c>
      <c r="T43" s="62">
        <v>0.27053708174127866</v>
      </c>
      <c r="U43" s="62">
        <v>7.4178684911649997</v>
      </c>
      <c r="V43" s="62">
        <v>223.640226267174</v>
      </c>
      <c r="W43" s="62">
        <v>88.401561429960736</v>
      </c>
      <c r="X43" s="62">
        <v>0.55411194408110398</v>
      </c>
      <c r="Y43" s="62">
        <v>0</v>
      </c>
      <c r="Z43" s="62">
        <v>1.0335274177297743E-2</v>
      </c>
      <c r="AA43" s="62">
        <v>0.98442007358087569</v>
      </c>
      <c r="AB43" s="62">
        <v>0.98442007358087569</v>
      </c>
      <c r="AC43" s="62">
        <v>0.98442007358087569</v>
      </c>
      <c r="AD43" s="62">
        <v>0.05</v>
      </c>
      <c r="AE43" s="62">
        <v>0.40814302259686269</v>
      </c>
      <c r="AF43" s="62">
        <v>11.134141674246001</v>
      </c>
      <c r="AG43" s="29">
        <v>234.46547084244153</v>
      </c>
      <c r="AH43" s="29">
        <v>441.8772335107551</v>
      </c>
      <c r="AI43" s="29">
        <v>31.993652391378465</v>
      </c>
      <c r="AJ43" s="63">
        <v>60.295729506828643</v>
      </c>
    </row>
    <row r="44" spans="1:36" x14ac:dyDescent="0.2">
      <c r="A44" s="32">
        <v>46447</v>
      </c>
      <c r="B44" s="33">
        <v>31.63</v>
      </c>
      <c r="C44" s="33">
        <v>32.130000000000003</v>
      </c>
      <c r="D44" s="33">
        <v>31.18</v>
      </c>
      <c r="E44" s="33">
        <v>31.68</v>
      </c>
      <c r="F44" s="33">
        <v>30.04</v>
      </c>
      <c r="G44" s="33">
        <v>30.47</v>
      </c>
      <c r="H44" s="64">
        <v>60</v>
      </c>
      <c r="I44" s="64">
        <v>94.868329805051388</v>
      </c>
      <c r="J44" s="64">
        <v>4.0604324506283263</v>
      </c>
      <c r="K44" s="64">
        <v>7.0242943807472713</v>
      </c>
      <c r="L44" s="64">
        <v>0</v>
      </c>
      <c r="M44" s="64">
        <v>0.5</v>
      </c>
      <c r="N44" s="64">
        <v>7</v>
      </c>
      <c r="O44" s="64">
        <v>7</v>
      </c>
      <c r="P44" s="64">
        <v>7</v>
      </c>
      <c r="Q44" s="64">
        <v>7</v>
      </c>
      <c r="R44" s="64">
        <v>7.244605122783225E-2</v>
      </c>
      <c r="S44" s="64">
        <v>2.9907985003193556</v>
      </c>
      <c r="T44" s="64">
        <v>0.27051198202076504</v>
      </c>
      <c r="U44" s="64">
        <v>7.4171802807920004</v>
      </c>
      <c r="V44" s="64">
        <v>223.640226267174</v>
      </c>
      <c r="W44" s="64">
        <v>88.401561429960736</v>
      </c>
      <c r="X44" s="64">
        <v>0.55419288705456504</v>
      </c>
      <c r="Y44" s="64">
        <v>0</v>
      </c>
      <c r="Z44" s="64">
        <v>9.88788432079824E-3</v>
      </c>
      <c r="AA44" s="64">
        <v>0.98456387340871765</v>
      </c>
      <c r="AB44" s="64">
        <v>0.98456387340871765</v>
      </c>
      <c r="AC44" s="64">
        <v>0.98456387340871765</v>
      </c>
      <c r="AD44" s="64">
        <v>0.05</v>
      </c>
      <c r="AE44" s="64">
        <v>0.40820264236484533</v>
      </c>
      <c r="AF44" s="64">
        <v>11.135768105505999</v>
      </c>
      <c r="AG44" s="33">
        <v>234.4437177513297</v>
      </c>
      <c r="AH44" s="33">
        <v>441.83623730058281</v>
      </c>
      <c r="AI44" s="33">
        <v>31.998325885783323</v>
      </c>
      <c r="AJ44" s="65">
        <v>60.304537246283964</v>
      </c>
    </row>
    <row r="45" spans="1:36" x14ac:dyDescent="0.2">
      <c r="A45" s="28">
        <v>46478</v>
      </c>
      <c r="B45" s="29">
        <v>27.9</v>
      </c>
      <c r="C45" s="29">
        <v>28.43</v>
      </c>
      <c r="D45" s="29">
        <v>27.45</v>
      </c>
      <c r="E45" s="29">
        <v>27.98</v>
      </c>
      <c r="F45" s="29">
        <v>26.44</v>
      </c>
      <c r="G45" s="29">
        <v>26.73</v>
      </c>
      <c r="H45" s="62">
        <v>60</v>
      </c>
      <c r="I45" s="62">
        <v>94.868329805051388</v>
      </c>
      <c r="J45" s="62">
        <v>4.0600429379716179</v>
      </c>
      <c r="K45" s="62">
        <v>10.242404337786274</v>
      </c>
      <c r="L45" s="62">
        <v>0</v>
      </c>
      <c r="M45" s="62">
        <v>0.5</v>
      </c>
      <c r="N45" s="62">
        <v>7</v>
      </c>
      <c r="O45" s="62">
        <v>7</v>
      </c>
      <c r="P45" s="62">
        <v>7</v>
      </c>
      <c r="Q45" s="62">
        <v>7</v>
      </c>
      <c r="R45" s="62">
        <v>6.4329028658039883E-2</v>
      </c>
      <c r="S45" s="62">
        <v>1.9936743966094086</v>
      </c>
      <c r="T45" s="62">
        <v>0.27048603197771925</v>
      </c>
      <c r="U45" s="62">
        <v>7.4164687553870001</v>
      </c>
      <c r="V45" s="62">
        <v>223.640226267174</v>
      </c>
      <c r="W45" s="62">
        <v>88.401561429960736</v>
      </c>
      <c r="X45" s="62">
        <v>0.55427657202547476</v>
      </c>
      <c r="Y45" s="62">
        <v>0</v>
      </c>
      <c r="Z45" s="62">
        <v>8.7821912469096593E-3</v>
      </c>
      <c r="AA45" s="62">
        <v>0.98471254533273289</v>
      </c>
      <c r="AB45" s="62">
        <v>0.98471254533273289</v>
      </c>
      <c r="AC45" s="62">
        <v>0.98471254533273289</v>
      </c>
      <c r="AD45" s="62">
        <v>0.05</v>
      </c>
      <c r="AE45" s="62">
        <v>0.27217618807738453</v>
      </c>
      <c r="AF45" s="62">
        <v>11.137449636625</v>
      </c>
      <c r="AG45" s="29">
        <v>234.42122771402336</v>
      </c>
      <c r="AH45" s="29">
        <v>441.79385223027481</v>
      </c>
      <c r="AI45" s="29">
        <v>32.003157723313812</v>
      </c>
      <c r="AJ45" s="63">
        <v>60.313643401629882</v>
      </c>
    </row>
    <row r="46" spans="1:36" x14ac:dyDescent="0.2">
      <c r="A46" s="32">
        <v>46508</v>
      </c>
      <c r="B46" s="33">
        <v>28.66</v>
      </c>
      <c r="C46" s="33">
        <v>29.2</v>
      </c>
      <c r="D46" s="33">
        <v>28.21</v>
      </c>
      <c r="E46" s="33">
        <v>28.75</v>
      </c>
      <c r="F46" s="33">
        <v>27.17</v>
      </c>
      <c r="G46" s="33">
        <v>27.47</v>
      </c>
      <c r="H46" s="64">
        <v>60</v>
      </c>
      <c r="I46" s="64">
        <v>94.868329805051388</v>
      </c>
      <c r="J46" s="64">
        <v>4.0596531479030498</v>
      </c>
      <c r="K46" s="64">
        <v>11.467506705036861</v>
      </c>
      <c r="L46" s="64">
        <v>0</v>
      </c>
      <c r="M46" s="64">
        <v>0.5</v>
      </c>
      <c r="N46" s="64">
        <v>7</v>
      </c>
      <c r="O46" s="64">
        <v>7</v>
      </c>
      <c r="P46" s="64">
        <v>7</v>
      </c>
      <c r="Q46" s="64">
        <v>7</v>
      </c>
      <c r="R46" s="64">
        <v>6.6301718817800656E-2</v>
      </c>
      <c r="S46" s="64">
        <v>1.9934829915513443</v>
      </c>
      <c r="T46" s="64">
        <v>0.27046006364771291</v>
      </c>
      <c r="U46" s="64">
        <v>7.415756728571</v>
      </c>
      <c r="V46" s="64">
        <v>223.640226267174</v>
      </c>
      <c r="W46" s="64">
        <v>88.401561429960736</v>
      </c>
      <c r="X46" s="64">
        <v>0.55436031543629416</v>
      </c>
      <c r="Y46" s="64">
        <v>0</v>
      </c>
      <c r="Z46" s="64">
        <v>9.0537394429950069E-3</v>
      </c>
      <c r="AA46" s="64">
        <v>0.9848613217879566</v>
      </c>
      <c r="AB46" s="64">
        <v>0.9848613217879566</v>
      </c>
      <c r="AC46" s="64">
        <v>0.9848613217879566</v>
      </c>
      <c r="AD46" s="64">
        <v>0.05</v>
      </c>
      <c r="AE46" s="64">
        <v>0.27221731013747241</v>
      </c>
      <c r="AF46" s="64">
        <v>11.139132352720001</v>
      </c>
      <c r="AG46" s="33">
        <v>234.39872182801787</v>
      </c>
      <c r="AH46" s="33">
        <v>441.75143729126444</v>
      </c>
      <c r="AI46" s="33">
        <v>32.007992958108588</v>
      </c>
      <c r="AJ46" s="65">
        <v>60.322755959512342</v>
      </c>
    </row>
    <row r="47" spans="1:36" x14ac:dyDescent="0.2">
      <c r="A47" s="28">
        <v>46539</v>
      </c>
      <c r="B47" s="29">
        <v>28.66</v>
      </c>
      <c r="C47" s="29">
        <v>29.2</v>
      </c>
      <c r="D47" s="29">
        <v>28.21</v>
      </c>
      <c r="E47" s="29">
        <v>28.75</v>
      </c>
      <c r="F47" s="29">
        <v>27.17</v>
      </c>
      <c r="G47" s="29">
        <v>27.47</v>
      </c>
      <c r="H47" s="62">
        <v>60</v>
      </c>
      <c r="I47" s="62">
        <v>94.868329805051388</v>
      </c>
      <c r="J47" s="62">
        <v>4.05926335843807</v>
      </c>
      <c r="K47" s="62">
        <v>13.828196861046244</v>
      </c>
      <c r="L47" s="62">
        <v>0</v>
      </c>
      <c r="M47" s="62">
        <v>0.5</v>
      </c>
      <c r="N47" s="62">
        <v>7</v>
      </c>
      <c r="O47" s="62">
        <v>7</v>
      </c>
      <c r="P47" s="62">
        <v>7</v>
      </c>
      <c r="Q47" s="62">
        <v>7</v>
      </c>
      <c r="R47" s="62">
        <v>6.6883547013797853E-2</v>
      </c>
      <c r="S47" s="62">
        <v>1.993291586493011</v>
      </c>
      <c r="T47" s="62">
        <v>0.2704340953176701</v>
      </c>
      <c r="U47" s="62">
        <v>7.4150447017539998</v>
      </c>
      <c r="V47" s="62">
        <v>223.640226267174</v>
      </c>
      <c r="W47" s="62">
        <v>88.401561429960736</v>
      </c>
      <c r="X47" s="62">
        <v>0.55444405906726801</v>
      </c>
      <c r="Y47" s="62">
        <v>0</v>
      </c>
      <c r="Z47" s="62">
        <v>9.13544702202688E-3</v>
      </c>
      <c r="AA47" s="62">
        <v>0.98501009848780618</v>
      </c>
      <c r="AB47" s="62">
        <v>0.98501009848780618</v>
      </c>
      <c r="AC47" s="62">
        <v>0.98501009848780618</v>
      </c>
      <c r="AD47" s="62">
        <v>0.05</v>
      </c>
      <c r="AE47" s="62">
        <v>0.27225843226517532</v>
      </c>
      <c r="AF47" s="62">
        <v>11.140815068816</v>
      </c>
      <c r="AG47" s="29">
        <v>234.37621594198075</v>
      </c>
      <c r="AH47" s="29">
        <v>441.70902235219449</v>
      </c>
      <c r="AI47" s="29">
        <v>32.012828200853697</v>
      </c>
      <c r="AJ47" s="63">
        <v>60.331868532378131</v>
      </c>
    </row>
    <row r="48" spans="1:36" x14ac:dyDescent="0.2">
      <c r="A48" s="32">
        <v>46569</v>
      </c>
      <c r="B48" s="33">
        <v>25.37</v>
      </c>
      <c r="C48" s="33">
        <v>25.85</v>
      </c>
      <c r="D48" s="33">
        <v>24.92</v>
      </c>
      <c r="E48" s="33">
        <v>25.4</v>
      </c>
      <c r="F48" s="33">
        <v>24.01</v>
      </c>
      <c r="G48" s="33">
        <v>24.27</v>
      </c>
      <c r="H48" s="64">
        <v>60</v>
      </c>
      <c r="I48" s="64">
        <v>94.868329805051388</v>
      </c>
      <c r="J48" s="64">
        <v>4.058873568937087</v>
      </c>
      <c r="K48" s="64">
        <v>12.042175192564804</v>
      </c>
      <c r="L48" s="64">
        <v>0</v>
      </c>
      <c r="M48" s="64">
        <v>0.5</v>
      </c>
      <c r="N48" s="64">
        <v>7</v>
      </c>
      <c r="O48" s="64">
        <v>7</v>
      </c>
      <c r="P48" s="64">
        <v>7</v>
      </c>
      <c r="Q48" s="64">
        <v>7</v>
      </c>
      <c r="R48" s="64">
        <v>5.9170492852570568E-2</v>
      </c>
      <c r="S48" s="64">
        <v>1.9931001814346778</v>
      </c>
      <c r="T48" s="64">
        <v>0.27040812698762734</v>
      </c>
      <c r="U48" s="64">
        <v>7.4143326749370004</v>
      </c>
      <c r="V48" s="64">
        <v>223.640226267174</v>
      </c>
      <c r="W48" s="64">
        <v>88.401561429960736</v>
      </c>
      <c r="X48" s="64">
        <v>0.55452780256014522</v>
      </c>
      <c r="Y48" s="64">
        <v>0</v>
      </c>
      <c r="Z48" s="64">
        <v>8.0839382860632136E-3</v>
      </c>
      <c r="AA48" s="64">
        <v>0.98515887495108734</v>
      </c>
      <c r="AB48" s="64">
        <v>0.98515887495108734</v>
      </c>
      <c r="AC48" s="64">
        <v>0.98515887495108734</v>
      </c>
      <c r="AD48" s="64">
        <v>0.05</v>
      </c>
      <c r="AE48" s="64">
        <v>0.27229955432749026</v>
      </c>
      <c r="AF48" s="64">
        <v>11.142497784911001</v>
      </c>
      <c r="AG48" s="33">
        <v>234.35371005594368</v>
      </c>
      <c r="AH48" s="33">
        <v>441.66660741312461</v>
      </c>
      <c r="AI48" s="33">
        <v>32.017663435910336</v>
      </c>
      <c r="AJ48" s="65">
        <v>60.340981090754099</v>
      </c>
    </row>
    <row r="49" spans="1:36" x14ac:dyDescent="0.2">
      <c r="A49" s="28">
        <v>46600</v>
      </c>
      <c r="B49" s="29">
        <v>26.09</v>
      </c>
      <c r="C49" s="29">
        <v>26.59</v>
      </c>
      <c r="D49" s="29">
        <v>25.64</v>
      </c>
      <c r="E49" s="29">
        <v>26.14</v>
      </c>
      <c r="F49" s="29">
        <v>24.7</v>
      </c>
      <c r="G49" s="29">
        <v>24.97</v>
      </c>
      <c r="H49" s="62">
        <v>60</v>
      </c>
      <c r="I49" s="62">
        <v>94.868329805051388</v>
      </c>
      <c r="J49" s="62">
        <v>4.0584773897284858</v>
      </c>
      <c r="K49" s="62">
        <v>10.427722214018113</v>
      </c>
      <c r="L49" s="62">
        <v>0</v>
      </c>
      <c r="M49" s="62">
        <v>0.5</v>
      </c>
      <c r="N49" s="62">
        <v>7</v>
      </c>
      <c r="O49" s="62">
        <v>7</v>
      </c>
      <c r="P49" s="62">
        <v>7</v>
      </c>
      <c r="Q49" s="62">
        <v>7</v>
      </c>
      <c r="R49" s="62">
        <v>6.0354396988414584E-2</v>
      </c>
      <c r="S49" s="62">
        <v>1.9929056385884407</v>
      </c>
      <c r="T49" s="62">
        <v>0.27038173294724754</v>
      </c>
      <c r="U49" s="62">
        <v>7.4136089755489998</v>
      </c>
      <c r="V49" s="62">
        <v>223.640226267174</v>
      </c>
      <c r="W49" s="62">
        <v>88.401561429960736</v>
      </c>
      <c r="X49" s="62">
        <v>0.55461291900274567</v>
      </c>
      <c r="Y49" s="62">
        <v>0</v>
      </c>
      <c r="Z49" s="62">
        <v>8.2477552883852036E-3</v>
      </c>
      <c r="AA49" s="62">
        <v>0.98531009049135732</v>
      </c>
      <c r="AB49" s="62">
        <v>0.98531009049135732</v>
      </c>
      <c r="AC49" s="62">
        <v>0.98531009049135732</v>
      </c>
      <c r="AD49" s="62">
        <v>0.05</v>
      </c>
      <c r="AE49" s="62">
        <v>0.27234135055474845</v>
      </c>
      <c r="AF49" s="62">
        <v>11.144208086517001</v>
      </c>
      <c r="AG49" s="29">
        <v>234.33083522094788</v>
      </c>
      <c r="AH49" s="29">
        <v>441.62349714717095</v>
      </c>
      <c r="AI49" s="29">
        <v>32.022577940969107</v>
      </c>
      <c r="AJ49" s="63">
        <v>60.350243042595629</v>
      </c>
    </row>
    <row r="50" spans="1:36" x14ac:dyDescent="0.2">
      <c r="A50" s="32">
        <v>46631</v>
      </c>
      <c r="B50" s="33">
        <v>26.71</v>
      </c>
      <c r="C50" s="33">
        <v>27.21</v>
      </c>
      <c r="D50" s="33">
        <v>26.26</v>
      </c>
      <c r="E50" s="33">
        <v>26.76</v>
      </c>
      <c r="F50" s="33">
        <v>25.29</v>
      </c>
      <c r="G50" s="33">
        <v>25.57</v>
      </c>
      <c r="H50" s="64">
        <v>60</v>
      </c>
      <c r="I50" s="64">
        <v>94.868329805051388</v>
      </c>
      <c r="J50" s="64">
        <v>4.058087600515969</v>
      </c>
      <c r="K50" s="64">
        <v>7.7411868691879242</v>
      </c>
      <c r="L50" s="64">
        <v>0</v>
      </c>
      <c r="M50" s="64">
        <v>0.5</v>
      </c>
      <c r="N50" s="64">
        <v>7</v>
      </c>
      <c r="O50" s="64">
        <v>7</v>
      </c>
      <c r="P50" s="64">
        <v>7</v>
      </c>
      <c r="Q50" s="64">
        <v>7</v>
      </c>
      <c r="R50" s="64">
        <v>6.1033501638937025E-2</v>
      </c>
      <c r="S50" s="64">
        <v>1.9927142335301078</v>
      </c>
      <c r="T50" s="64">
        <v>0.27035576461720473</v>
      </c>
      <c r="U50" s="64">
        <v>7.4128969487319996</v>
      </c>
      <c r="V50" s="64">
        <v>223.640226267174</v>
      </c>
      <c r="W50" s="64">
        <v>88.401561429960736</v>
      </c>
      <c r="X50" s="64">
        <v>0.55469666266716122</v>
      </c>
      <c r="Y50" s="64">
        <v>0</v>
      </c>
      <c r="Z50" s="64">
        <v>8.3426192494885608E-3</v>
      </c>
      <c r="AA50" s="64">
        <v>0.98545886718939291</v>
      </c>
      <c r="AB50" s="64">
        <v>0.98545886718939291</v>
      </c>
      <c r="AC50" s="64">
        <v>0.98545886718939291</v>
      </c>
      <c r="AD50" s="64">
        <v>0.05</v>
      </c>
      <c r="AE50" s="64">
        <v>0.27238247268194998</v>
      </c>
      <c r="AF50" s="64">
        <v>11.145890802612</v>
      </c>
      <c r="AG50" s="33">
        <v>234.30832933491078</v>
      </c>
      <c r="AH50" s="33">
        <v>441.58108220810107</v>
      </c>
      <c r="AI50" s="33">
        <v>32.02741318365527</v>
      </c>
      <c r="AJ50" s="65">
        <v>60.359355615350317</v>
      </c>
    </row>
    <row r="51" spans="1:36" x14ac:dyDescent="0.2">
      <c r="A51" s="28">
        <v>46661</v>
      </c>
      <c r="B51" s="29">
        <v>27.79</v>
      </c>
      <c r="C51" s="29">
        <v>28.31</v>
      </c>
      <c r="D51" s="29">
        <v>27.34</v>
      </c>
      <c r="E51" s="29">
        <v>27.86</v>
      </c>
      <c r="F51" s="29">
        <v>26.34</v>
      </c>
      <c r="G51" s="29">
        <v>26.62</v>
      </c>
      <c r="H51" s="62">
        <v>60</v>
      </c>
      <c r="I51" s="62">
        <v>94.868329805051388</v>
      </c>
      <c r="J51" s="62">
        <v>4.0576975539797564</v>
      </c>
      <c r="K51" s="62">
        <v>27.645725544834843</v>
      </c>
      <c r="L51" s="62">
        <v>0</v>
      </c>
      <c r="M51" s="62">
        <v>0.5</v>
      </c>
      <c r="N51" s="62">
        <v>7</v>
      </c>
      <c r="O51" s="62">
        <v>7</v>
      </c>
      <c r="P51" s="62">
        <v>7</v>
      </c>
      <c r="Q51" s="62">
        <v>7</v>
      </c>
      <c r="R51" s="62">
        <v>6.8396374638631879E-2</v>
      </c>
      <c r="S51" s="62">
        <v>1.992522702118011</v>
      </c>
      <c r="T51" s="62">
        <v>0.27032977914447898</v>
      </c>
      <c r="U51" s="62">
        <v>7.4121844518789999</v>
      </c>
      <c r="V51" s="62">
        <v>223.640226267174</v>
      </c>
      <c r="W51" s="62">
        <v>88.401561429960736</v>
      </c>
      <c r="X51" s="62">
        <v>0.5547804614762496</v>
      </c>
      <c r="Y51" s="62">
        <v>0</v>
      </c>
      <c r="Z51" s="62">
        <v>9.3513555051719568E-3</v>
      </c>
      <c r="AA51" s="62">
        <v>0.98560774185813027</v>
      </c>
      <c r="AB51" s="62">
        <v>0.98560774185813027</v>
      </c>
      <c r="AC51" s="62">
        <v>0.98560774185813027</v>
      </c>
      <c r="AD51" s="62">
        <v>0.05</v>
      </c>
      <c r="AE51" s="62">
        <v>0.27242362188841662</v>
      </c>
      <c r="AF51" s="62">
        <v>11.147574629534001</v>
      </c>
      <c r="AG51" s="29">
        <v>234.28580859188179</v>
      </c>
      <c r="AH51" s="29">
        <v>441.53863926931558</v>
      </c>
      <c r="AI51" s="29">
        <v>32.032251610389231</v>
      </c>
      <c r="AJ51" s="63">
        <v>60.368474188810481</v>
      </c>
    </row>
    <row r="52" spans="1:36" x14ac:dyDescent="0.2">
      <c r="A52" s="32">
        <v>46692</v>
      </c>
      <c r="B52" s="33">
        <v>28.58</v>
      </c>
      <c r="C52" s="33">
        <v>29.12</v>
      </c>
      <c r="D52" s="33">
        <v>28.13</v>
      </c>
      <c r="E52" s="33">
        <v>28.67</v>
      </c>
      <c r="F52" s="33">
        <v>27.1</v>
      </c>
      <c r="G52" s="33">
        <v>27.39</v>
      </c>
      <c r="H52" s="64">
        <v>60</v>
      </c>
      <c r="I52" s="64">
        <v>94.868329805051388</v>
      </c>
      <c r="J52" s="64">
        <v>4.0573074896011656</v>
      </c>
      <c r="K52" s="64">
        <v>16.749824772032959</v>
      </c>
      <c r="L52" s="64">
        <v>0</v>
      </c>
      <c r="M52" s="64">
        <v>0.5</v>
      </c>
      <c r="N52" s="64">
        <v>7</v>
      </c>
      <c r="O52" s="64">
        <v>7</v>
      </c>
      <c r="P52" s="64">
        <v>7</v>
      </c>
      <c r="Q52" s="64">
        <v>7</v>
      </c>
      <c r="R52" s="64">
        <v>6.741220094301735E-2</v>
      </c>
      <c r="S52" s="64">
        <v>2.9884967428967748</v>
      </c>
      <c r="T52" s="64">
        <v>0.27030379248126685</v>
      </c>
      <c r="U52" s="64">
        <v>7.411471922384</v>
      </c>
      <c r="V52" s="64">
        <v>223.640226267174</v>
      </c>
      <c r="W52" s="64">
        <v>88.401561429960736</v>
      </c>
      <c r="X52" s="64">
        <v>0.55486426426924773</v>
      </c>
      <c r="Y52" s="64">
        <v>0</v>
      </c>
      <c r="Z52" s="64">
        <v>9.2190748281662585E-3</v>
      </c>
      <c r="AA52" s="64">
        <v>0.98575662359800631</v>
      </c>
      <c r="AB52" s="64">
        <v>0.98575662359800631</v>
      </c>
      <c r="AC52" s="64">
        <v>0.98575662359800631</v>
      </c>
      <c r="AD52" s="64">
        <v>0.05</v>
      </c>
      <c r="AE52" s="64">
        <v>0.40869715957403674</v>
      </c>
      <c r="AF52" s="64">
        <v>11.149258533596001</v>
      </c>
      <c r="AG52" s="33">
        <v>234.26328681709791</v>
      </c>
      <c r="AH52" s="33">
        <v>441.49619438606919</v>
      </c>
      <c r="AI52" s="33">
        <v>32.037090266935202</v>
      </c>
      <c r="AJ52" s="65">
        <v>60.377593195377891</v>
      </c>
    </row>
    <row r="53" spans="1:36" x14ac:dyDescent="0.2">
      <c r="A53" s="28">
        <v>46722</v>
      </c>
      <c r="B53" s="29">
        <v>29.52</v>
      </c>
      <c r="C53" s="29">
        <v>30.08</v>
      </c>
      <c r="D53" s="29">
        <v>29.07</v>
      </c>
      <c r="E53" s="29">
        <v>29.63</v>
      </c>
      <c r="F53" s="29">
        <v>28.01</v>
      </c>
      <c r="G53" s="29">
        <v>28.31</v>
      </c>
      <c r="H53" s="62">
        <v>60</v>
      </c>
      <c r="I53" s="62">
        <v>94.868329805051388</v>
      </c>
      <c r="J53" s="62">
        <v>4.056917700397662</v>
      </c>
      <c r="K53" s="62">
        <v>19.838392456497211</v>
      </c>
      <c r="L53" s="62">
        <v>0</v>
      </c>
      <c r="M53" s="62">
        <v>0.5</v>
      </c>
      <c r="N53" s="62">
        <v>7</v>
      </c>
      <c r="O53" s="62">
        <v>7</v>
      </c>
      <c r="P53" s="62">
        <v>7</v>
      </c>
      <c r="Q53" s="62">
        <v>7</v>
      </c>
      <c r="R53" s="62">
        <v>7.0272921912851949E-2</v>
      </c>
      <c r="S53" s="62">
        <v>2.9882096353092749</v>
      </c>
      <c r="T53" s="62">
        <v>0.27027782415122403</v>
      </c>
      <c r="U53" s="62">
        <v>7.4107598955669998</v>
      </c>
      <c r="V53" s="62">
        <v>223.640226267174</v>
      </c>
      <c r="W53" s="62">
        <v>88.401561429960736</v>
      </c>
      <c r="X53" s="62">
        <v>0.5549480077962119</v>
      </c>
      <c r="Y53" s="62">
        <v>0</v>
      </c>
      <c r="Z53" s="62">
        <v>9.6126717310924432E-3</v>
      </c>
      <c r="AA53" s="62">
        <v>0.98590540004966187</v>
      </c>
      <c r="AB53" s="62">
        <v>0.98590540004966187</v>
      </c>
      <c r="AC53" s="62">
        <v>0.98590540004966187</v>
      </c>
      <c r="AD53" s="62">
        <v>0.05</v>
      </c>
      <c r="AE53" s="62">
        <v>0.40875884266268925</v>
      </c>
      <c r="AF53" s="62">
        <v>11.150941249691</v>
      </c>
      <c r="AG53" s="29">
        <v>234.24078093106084</v>
      </c>
      <c r="AH53" s="29">
        <v>441.45377944699919</v>
      </c>
      <c r="AI53" s="29">
        <v>32.04192550161401</v>
      </c>
      <c r="AJ53" s="63">
        <v>60.386705753041795</v>
      </c>
    </row>
    <row r="54" spans="1:36" x14ac:dyDescent="0.2">
      <c r="A54" s="32">
        <v>46753</v>
      </c>
      <c r="B54" s="33">
        <v>29.2</v>
      </c>
      <c r="C54" s="33">
        <v>31.67</v>
      </c>
      <c r="D54" s="33">
        <v>28.75</v>
      </c>
      <c r="E54" s="33">
        <v>31.22</v>
      </c>
      <c r="F54" s="33">
        <v>27.64</v>
      </c>
      <c r="G54" s="33">
        <v>29.7</v>
      </c>
      <c r="H54" s="64">
        <v>60</v>
      </c>
      <c r="I54" s="64">
        <v>94.868329805051388</v>
      </c>
      <c r="J54" s="64">
        <v>4.0565215212076389</v>
      </c>
      <c r="K54" s="64">
        <v>-1.7746510692588382</v>
      </c>
      <c r="L54" s="64">
        <v>0</v>
      </c>
      <c r="M54" s="64">
        <v>0.5</v>
      </c>
      <c r="N54" s="64">
        <v>7</v>
      </c>
      <c r="O54" s="64">
        <v>7</v>
      </c>
      <c r="P54" s="64">
        <v>7</v>
      </c>
      <c r="Q54" s="64">
        <v>7</v>
      </c>
      <c r="R54" s="64">
        <v>6.6737026109072034E-2</v>
      </c>
      <c r="S54" s="64">
        <v>2.9879178210403232</v>
      </c>
      <c r="T54" s="64">
        <v>0.27025143011088076</v>
      </c>
      <c r="U54" s="64">
        <v>7.4100361961800001</v>
      </c>
      <c r="V54" s="64">
        <v>223.640226267174</v>
      </c>
      <c r="W54" s="64">
        <v>88.401561429960736</v>
      </c>
      <c r="X54" s="64">
        <v>0.55503312424042228</v>
      </c>
      <c r="Y54" s="64">
        <v>0</v>
      </c>
      <c r="Z54" s="64">
        <v>9.1312864933100913E-3</v>
      </c>
      <c r="AA54" s="64">
        <v>0.98605661558841717</v>
      </c>
      <c r="AB54" s="64">
        <v>0.98605661558841717</v>
      </c>
      <c r="AC54" s="64">
        <v>0.98605661558841717</v>
      </c>
      <c r="AD54" s="64">
        <v>0.05</v>
      </c>
      <c r="AE54" s="64">
        <v>0.40882153700294843</v>
      </c>
      <c r="AF54" s="64">
        <v>11.152651551297</v>
      </c>
      <c r="AG54" s="33">
        <v>234.21790609609667</v>
      </c>
      <c r="AH54" s="33">
        <v>441.41066918110522</v>
      </c>
      <c r="AI54" s="33">
        <v>32.046840006623555</v>
      </c>
      <c r="AJ54" s="65">
        <v>60.395967704790543</v>
      </c>
    </row>
    <row r="55" spans="1:36" x14ac:dyDescent="0.2">
      <c r="A55" s="28">
        <v>46784</v>
      </c>
      <c r="B55" s="29">
        <v>28.38</v>
      </c>
      <c r="C55" s="29">
        <v>30.77</v>
      </c>
      <c r="D55" s="29">
        <v>27.93</v>
      </c>
      <c r="E55" s="29">
        <v>30.32</v>
      </c>
      <c r="F55" s="29">
        <v>26.85</v>
      </c>
      <c r="G55" s="29">
        <v>28.85</v>
      </c>
      <c r="H55" s="62">
        <v>60</v>
      </c>
      <c r="I55" s="62">
        <v>94.868329805051388</v>
      </c>
      <c r="J55" s="62">
        <v>4.0561381219912036</v>
      </c>
      <c r="K55" s="62">
        <v>-0.75663255988190548</v>
      </c>
      <c r="L55" s="62">
        <v>0</v>
      </c>
      <c r="M55" s="62">
        <v>0.5</v>
      </c>
      <c r="N55" s="62">
        <v>7</v>
      </c>
      <c r="O55" s="62">
        <v>7</v>
      </c>
      <c r="P55" s="62">
        <v>7</v>
      </c>
      <c r="Q55" s="62">
        <v>7</v>
      </c>
      <c r="R55" s="62">
        <v>6.5082340568672362E-2</v>
      </c>
      <c r="S55" s="62">
        <v>2.9876354201346782</v>
      </c>
      <c r="T55" s="62">
        <v>0.27022588749117488</v>
      </c>
      <c r="U55" s="62">
        <v>7.4093358419340003</v>
      </c>
      <c r="V55" s="62">
        <v>223.640226267174</v>
      </c>
      <c r="W55" s="62">
        <v>88.401561429960736</v>
      </c>
      <c r="X55" s="62">
        <v>0.5551154951288777</v>
      </c>
      <c r="Y55" s="62">
        <v>0</v>
      </c>
      <c r="Z55" s="62">
        <v>8.9070477099871346E-3</v>
      </c>
      <c r="AA55" s="62">
        <v>0.98620295344816999</v>
      </c>
      <c r="AB55" s="62">
        <v>0.98620295344816999</v>
      </c>
      <c r="AC55" s="62">
        <v>0.98620295344816999</v>
      </c>
      <c r="AD55" s="62">
        <v>0.05</v>
      </c>
      <c r="AE55" s="62">
        <v>0.40888220904530398</v>
      </c>
      <c r="AF55" s="62">
        <v>11.154306681882</v>
      </c>
      <c r="AG55" s="29">
        <v>234.19576915901823</v>
      </c>
      <c r="AH55" s="29">
        <v>441.36894956891899</v>
      </c>
      <c r="AI55" s="29">
        <v>32.051595987065525</v>
      </c>
      <c r="AJ55" s="63">
        <v>60.404930898700414</v>
      </c>
    </row>
    <row r="56" spans="1:36" x14ac:dyDescent="0.2">
      <c r="A56" s="32">
        <v>46813</v>
      </c>
      <c r="B56" s="33">
        <v>27.76</v>
      </c>
      <c r="C56" s="33">
        <v>30.11</v>
      </c>
      <c r="D56" s="33">
        <v>27.31</v>
      </c>
      <c r="E56" s="33">
        <v>29.66</v>
      </c>
      <c r="F56" s="33">
        <v>26.26</v>
      </c>
      <c r="G56" s="33">
        <v>28.21</v>
      </c>
      <c r="H56" s="64">
        <v>60</v>
      </c>
      <c r="I56" s="64">
        <v>94.868329805051388</v>
      </c>
      <c r="J56" s="64">
        <v>4.0557549807819635</v>
      </c>
      <c r="K56" s="64">
        <v>0.62146081413086485</v>
      </c>
      <c r="L56" s="64">
        <v>0</v>
      </c>
      <c r="M56" s="64">
        <v>0.5</v>
      </c>
      <c r="N56" s="64">
        <v>7</v>
      </c>
      <c r="O56" s="64">
        <v>7</v>
      </c>
      <c r="P56" s="64">
        <v>7</v>
      </c>
      <c r="Q56" s="64">
        <v>7</v>
      </c>
      <c r="R56" s="64">
        <v>6.4013404829519144E-2</v>
      </c>
      <c r="S56" s="64">
        <v>2.9873532092697586</v>
      </c>
      <c r="T56" s="64">
        <v>0.2702003620602878</v>
      </c>
      <c r="U56" s="64">
        <v>7.4086359589889996</v>
      </c>
      <c r="V56" s="64">
        <v>223.640226267174</v>
      </c>
      <c r="W56" s="64">
        <v>88.401561429960736</v>
      </c>
      <c r="X56" s="64">
        <v>0.55519781031629689</v>
      </c>
      <c r="Y56" s="64">
        <v>0</v>
      </c>
      <c r="Z56" s="64">
        <v>8.7628819862526994E-3</v>
      </c>
      <c r="AA56" s="64">
        <v>0.98634919235099094</v>
      </c>
      <c r="AB56" s="64">
        <v>0.98634919235099094</v>
      </c>
      <c r="AC56" s="64">
        <v>0.98634919235099094</v>
      </c>
      <c r="AD56" s="64">
        <v>0.05</v>
      </c>
      <c r="AE56" s="64">
        <v>0.4089428400598682</v>
      </c>
      <c r="AF56" s="64">
        <v>11.155960698652001</v>
      </c>
      <c r="AG56" s="33">
        <v>234.17364711891605</v>
      </c>
      <c r="AH56" s="33">
        <v>441.32725803180335</v>
      </c>
      <c r="AI56" s="33">
        <v>32.056348751407207</v>
      </c>
      <c r="AJ56" s="65">
        <v>60.413888031498196</v>
      </c>
    </row>
    <row r="57" spans="1:36" x14ac:dyDescent="0.2">
      <c r="A57" s="28">
        <v>46844</v>
      </c>
      <c r="B57" s="29">
        <v>26.24</v>
      </c>
      <c r="C57" s="29">
        <v>28.45</v>
      </c>
      <c r="D57" s="29">
        <v>25.79</v>
      </c>
      <c r="E57" s="29">
        <v>28</v>
      </c>
      <c r="F57" s="29">
        <v>24.8</v>
      </c>
      <c r="G57" s="29">
        <v>26.64</v>
      </c>
      <c r="H57" s="62">
        <v>60</v>
      </c>
      <c r="I57" s="62">
        <v>94.868329805051388</v>
      </c>
      <c r="J57" s="62">
        <v>4.055365466070052</v>
      </c>
      <c r="K57" s="62">
        <v>2.2064243724627017</v>
      </c>
      <c r="L57" s="62">
        <v>0</v>
      </c>
      <c r="M57" s="62">
        <v>0.5</v>
      </c>
      <c r="N57" s="62">
        <v>7</v>
      </c>
      <c r="O57" s="62">
        <v>7</v>
      </c>
      <c r="P57" s="62">
        <v>7</v>
      </c>
      <c r="Q57" s="62">
        <v>7</v>
      </c>
      <c r="R57" s="62">
        <v>6.0902502699074337E-2</v>
      </c>
      <c r="S57" s="62">
        <v>1.9913775359099464</v>
      </c>
      <c r="T57" s="62">
        <v>0.27017441201727854</v>
      </c>
      <c r="U57" s="62">
        <v>7.4079244335850003</v>
      </c>
      <c r="V57" s="62">
        <v>223.640226267174</v>
      </c>
      <c r="W57" s="62">
        <v>88.401561429960736</v>
      </c>
      <c r="X57" s="62">
        <v>0.55528149501280333</v>
      </c>
      <c r="Y57" s="62">
        <v>0</v>
      </c>
      <c r="Z57" s="62">
        <v>8.3390838861592421E-3</v>
      </c>
      <c r="AA57" s="62">
        <v>0.98649786428606967</v>
      </c>
      <c r="AB57" s="62">
        <v>0.98649786428606967</v>
      </c>
      <c r="AC57" s="62">
        <v>0.98649786428606967</v>
      </c>
      <c r="AD57" s="62">
        <v>0.05</v>
      </c>
      <c r="AE57" s="62">
        <v>0.27266965321045783</v>
      </c>
      <c r="AF57" s="62">
        <v>11.157642229771</v>
      </c>
      <c r="AG57" s="29">
        <v>234.15115708164137</v>
      </c>
      <c r="AH57" s="29">
        <v>441.28487296155487</v>
      </c>
      <c r="AI57" s="29">
        <v>32.061180589297258</v>
      </c>
      <c r="AJ57" s="63">
        <v>60.422994187521773</v>
      </c>
    </row>
    <row r="58" spans="1:36" x14ac:dyDescent="0.2">
      <c r="A58" s="32">
        <v>46874</v>
      </c>
      <c r="B58" s="33">
        <v>25.41</v>
      </c>
      <c r="C58" s="33">
        <v>27.55</v>
      </c>
      <c r="D58" s="33">
        <v>24.96</v>
      </c>
      <c r="E58" s="33">
        <v>27.1</v>
      </c>
      <c r="F58" s="33">
        <v>24</v>
      </c>
      <c r="G58" s="33">
        <v>25.78</v>
      </c>
      <c r="H58" s="64">
        <v>60</v>
      </c>
      <c r="I58" s="64">
        <v>94.868329805051388</v>
      </c>
      <c r="J58" s="64">
        <v>4.0549756768665484</v>
      </c>
      <c r="K58" s="64">
        <v>3.9171524219025486</v>
      </c>
      <c r="L58" s="64">
        <v>0</v>
      </c>
      <c r="M58" s="64">
        <v>0.5</v>
      </c>
      <c r="N58" s="64">
        <v>7</v>
      </c>
      <c r="O58" s="64">
        <v>7</v>
      </c>
      <c r="P58" s="64">
        <v>7</v>
      </c>
      <c r="Q58" s="64">
        <v>7</v>
      </c>
      <c r="R58" s="64">
        <v>5.9410832492656357E-2</v>
      </c>
      <c r="S58" s="64">
        <v>1.9911861308516132</v>
      </c>
      <c r="T58" s="64">
        <v>0.27014844368723567</v>
      </c>
      <c r="U58" s="64">
        <v>7.4072124067680001</v>
      </c>
      <c r="V58" s="64">
        <v>223.640226267174</v>
      </c>
      <c r="W58" s="64">
        <v>88.401561429960736</v>
      </c>
      <c r="X58" s="64">
        <v>0.55536523854346942</v>
      </c>
      <c r="Y58" s="64">
        <v>0</v>
      </c>
      <c r="Z58" s="64">
        <v>8.1368456565418697E-3</v>
      </c>
      <c r="AA58" s="64">
        <v>0.98664664074430175</v>
      </c>
      <c r="AB58" s="64">
        <v>0.98664664074430175</v>
      </c>
      <c r="AC58" s="64">
        <v>0.98664664074430175</v>
      </c>
      <c r="AD58" s="64">
        <v>0.05</v>
      </c>
      <c r="AE58" s="64">
        <v>0.27271077527137716</v>
      </c>
      <c r="AF58" s="64">
        <v>11.159324945867001</v>
      </c>
      <c r="AG58" s="33">
        <v>234.12865119560428</v>
      </c>
      <c r="AH58" s="33">
        <v>441.24245802248498</v>
      </c>
      <c r="AI58" s="33">
        <v>32.066015824189805</v>
      </c>
      <c r="AJ58" s="65">
        <v>60.432106745588477</v>
      </c>
    </row>
    <row r="59" spans="1:36" x14ac:dyDescent="0.2">
      <c r="A59" s="28">
        <v>46905</v>
      </c>
      <c r="B59" s="29">
        <v>25.26</v>
      </c>
      <c r="C59" s="29">
        <v>27.39</v>
      </c>
      <c r="D59" s="29">
        <v>24.81</v>
      </c>
      <c r="E59" s="29">
        <v>26.94</v>
      </c>
      <c r="F59" s="29">
        <v>23.85</v>
      </c>
      <c r="G59" s="29">
        <v>25.63</v>
      </c>
      <c r="H59" s="62">
        <v>60</v>
      </c>
      <c r="I59" s="62">
        <v>94.868329805051388</v>
      </c>
      <c r="J59" s="62">
        <v>4.0545858876630456</v>
      </c>
      <c r="K59" s="62">
        <v>6.4559270237426638</v>
      </c>
      <c r="L59" s="62">
        <v>0</v>
      </c>
      <c r="M59" s="62">
        <v>0.5</v>
      </c>
      <c r="N59" s="62">
        <v>7</v>
      </c>
      <c r="O59" s="62">
        <v>7</v>
      </c>
      <c r="P59" s="62">
        <v>7</v>
      </c>
      <c r="Q59" s="62">
        <v>7</v>
      </c>
      <c r="R59" s="62">
        <v>5.9702256272595969E-2</v>
      </c>
      <c r="S59" s="62">
        <v>1.9909947257932799</v>
      </c>
      <c r="T59" s="62">
        <v>0.27012247535719286</v>
      </c>
      <c r="U59" s="62">
        <v>7.4065003799509999</v>
      </c>
      <c r="V59" s="62">
        <v>223.640226267174</v>
      </c>
      <c r="W59" s="62">
        <v>88.401561429960736</v>
      </c>
      <c r="X59" s="62">
        <v>0.55544898221108097</v>
      </c>
      <c r="Y59" s="62">
        <v>0</v>
      </c>
      <c r="Z59" s="62">
        <v>8.1787779224879766E-3</v>
      </c>
      <c r="AA59" s="62">
        <v>0.98679541744582755</v>
      </c>
      <c r="AB59" s="62">
        <v>0.98679541744582755</v>
      </c>
      <c r="AC59" s="62">
        <v>0.98679541744582755</v>
      </c>
      <c r="AD59" s="62">
        <v>0.05</v>
      </c>
      <c r="AE59" s="62">
        <v>0.27275189739954336</v>
      </c>
      <c r="AF59" s="62">
        <v>11.161007661962</v>
      </c>
      <c r="AG59" s="29">
        <v>234.10614530956718</v>
      </c>
      <c r="AH59" s="29">
        <v>441.20004308341504</v>
      </c>
      <c r="AI59" s="29">
        <v>32.070851066989398</v>
      </c>
      <c r="AJ59" s="63">
        <v>60.441219318556939</v>
      </c>
    </row>
    <row r="60" spans="1:36" x14ac:dyDescent="0.2">
      <c r="A60" s="32">
        <v>46935</v>
      </c>
      <c r="B60" s="33">
        <v>23.81</v>
      </c>
      <c r="C60" s="33">
        <v>25.82</v>
      </c>
      <c r="D60" s="33">
        <v>23.36</v>
      </c>
      <c r="E60" s="33">
        <v>25.37</v>
      </c>
      <c r="F60" s="33">
        <v>22.46</v>
      </c>
      <c r="G60" s="33">
        <v>24.14</v>
      </c>
      <c r="H60" s="64">
        <v>60</v>
      </c>
      <c r="I60" s="64">
        <v>94.868329805051388</v>
      </c>
      <c r="J60" s="64">
        <v>4.0541960984595429</v>
      </c>
      <c r="K60" s="64">
        <v>11.731192022801471</v>
      </c>
      <c r="L60" s="64">
        <v>0</v>
      </c>
      <c r="M60" s="64">
        <v>0.5</v>
      </c>
      <c r="N60" s="64">
        <v>7</v>
      </c>
      <c r="O60" s="64">
        <v>7</v>
      </c>
      <c r="P60" s="64">
        <v>7</v>
      </c>
      <c r="Q60" s="64">
        <v>7</v>
      </c>
      <c r="R60" s="64">
        <v>5.7684297904663701E-2</v>
      </c>
      <c r="S60" s="64">
        <v>1.9908033207349463</v>
      </c>
      <c r="T60" s="64">
        <v>0.2700965070271501</v>
      </c>
      <c r="U60" s="64">
        <v>7.4057883531339996</v>
      </c>
      <c r="V60" s="64">
        <v>223.640226267174</v>
      </c>
      <c r="W60" s="64">
        <v>88.401561429960736</v>
      </c>
      <c r="X60" s="64">
        <v>0.55553272573768042</v>
      </c>
      <c r="Y60" s="64">
        <v>0</v>
      </c>
      <c r="Z60" s="64">
        <v>7.9042834958209466E-3</v>
      </c>
      <c r="AA60" s="64">
        <v>0.98694419389683508</v>
      </c>
      <c r="AB60" s="64">
        <v>0.98694419389683508</v>
      </c>
      <c r="AC60" s="64">
        <v>0.98694419389683508</v>
      </c>
      <c r="AD60" s="64">
        <v>0.05</v>
      </c>
      <c r="AE60" s="64">
        <v>0.27279301945846585</v>
      </c>
      <c r="AF60" s="64">
        <v>11.162690378058</v>
      </c>
      <c r="AG60" s="33">
        <v>234.08363942353009</v>
      </c>
      <c r="AH60" s="33">
        <v>441.1576281443451</v>
      </c>
      <c r="AI60" s="33">
        <v>32.075686301647139</v>
      </c>
      <c r="AJ60" s="65">
        <v>60.450331876181153</v>
      </c>
    </row>
    <row r="61" spans="1:36" x14ac:dyDescent="0.2">
      <c r="A61" s="28">
        <v>46966</v>
      </c>
      <c r="B61" s="29">
        <v>24.46</v>
      </c>
      <c r="C61" s="29">
        <v>26.52</v>
      </c>
      <c r="D61" s="29">
        <v>24.01</v>
      </c>
      <c r="E61" s="29">
        <v>26.07</v>
      </c>
      <c r="F61" s="29">
        <v>23.08</v>
      </c>
      <c r="G61" s="29">
        <v>24.8</v>
      </c>
      <c r="H61" s="62">
        <v>60</v>
      </c>
      <c r="I61" s="62">
        <v>94.868329805051388</v>
      </c>
      <c r="J61" s="62">
        <v>4.0537999192689709</v>
      </c>
      <c r="K61" s="62">
        <v>11.045867614335107</v>
      </c>
      <c r="L61" s="62">
        <v>0</v>
      </c>
      <c r="M61" s="62">
        <v>0.5</v>
      </c>
      <c r="N61" s="62">
        <v>7</v>
      </c>
      <c r="O61" s="62">
        <v>7</v>
      </c>
      <c r="P61" s="62">
        <v>7</v>
      </c>
      <c r="Q61" s="62">
        <v>7</v>
      </c>
      <c r="R61" s="62">
        <v>5.8993002024362334E-2</v>
      </c>
      <c r="S61" s="62">
        <v>1.9906087778887096</v>
      </c>
      <c r="T61" s="62">
        <v>0.27007011298677031</v>
      </c>
      <c r="U61" s="62">
        <v>7.4050646537459999</v>
      </c>
      <c r="V61" s="62">
        <v>223.640226267174</v>
      </c>
      <c r="W61" s="62">
        <v>88.401561429960736</v>
      </c>
      <c r="X61" s="62">
        <v>0.55561784217960952</v>
      </c>
      <c r="Y61" s="62">
        <v>0</v>
      </c>
      <c r="Z61" s="62">
        <v>8.0856394507455576E-3</v>
      </c>
      <c r="AA61" s="62">
        <v>0.98709540943153729</v>
      </c>
      <c r="AB61" s="62">
        <v>0.98709540943153729</v>
      </c>
      <c r="AC61" s="62">
        <v>0.98709540943153729</v>
      </c>
      <c r="AD61" s="62">
        <v>0.05</v>
      </c>
      <c r="AE61" s="62">
        <v>0.27283481568418516</v>
      </c>
      <c r="AF61" s="62">
        <v>11.164400679663</v>
      </c>
      <c r="AG61" s="29">
        <v>234.06076458853428</v>
      </c>
      <c r="AH61" s="29">
        <v>441.1145178783915</v>
      </c>
      <c r="AI61" s="29">
        <v>32.080600806524963</v>
      </c>
      <c r="AJ61" s="63">
        <v>60.459593827681658</v>
      </c>
    </row>
    <row r="62" spans="1:36" x14ac:dyDescent="0.2">
      <c r="A62" s="32">
        <v>46997</v>
      </c>
      <c r="B62" s="33">
        <v>25.16</v>
      </c>
      <c r="C62" s="33">
        <v>27.28</v>
      </c>
      <c r="D62" s="33">
        <v>24.71</v>
      </c>
      <c r="E62" s="33">
        <v>26.83</v>
      </c>
      <c r="F62" s="33">
        <v>23.76</v>
      </c>
      <c r="G62" s="33">
        <v>25.53</v>
      </c>
      <c r="H62" s="64">
        <v>60</v>
      </c>
      <c r="I62" s="64">
        <v>94.868329805051388</v>
      </c>
      <c r="J62" s="64">
        <v>4.0534101300660161</v>
      </c>
      <c r="K62" s="64">
        <v>10.216670147282525</v>
      </c>
      <c r="L62" s="64">
        <v>0</v>
      </c>
      <c r="M62" s="64">
        <v>0.5</v>
      </c>
      <c r="N62" s="64">
        <v>7</v>
      </c>
      <c r="O62" s="64">
        <v>7</v>
      </c>
      <c r="P62" s="64">
        <v>7</v>
      </c>
      <c r="Q62" s="64">
        <v>7</v>
      </c>
      <c r="R62" s="64">
        <v>6.0389308894886896E-2</v>
      </c>
      <c r="S62" s="64">
        <v>1.9904173728306453</v>
      </c>
      <c r="T62" s="64">
        <v>0.27004414465676402</v>
      </c>
      <c r="U62" s="64">
        <v>7.4043526269299997</v>
      </c>
      <c r="V62" s="64">
        <v>223.640226267174</v>
      </c>
      <c r="W62" s="64">
        <v>88.401561429960736</v>
      </c>
      <c r="X62" s="64">
        <v>0.55570158584688867</v>
      </c>
      <c r="Y62" s="64">
        <v>0</v>
      </c>
      <c r="Z62" s="64">
        <v>8.2790622477925558E-3</v>
      </c>
      <c r="AA62" s="64">
        <v>0.98724418613247245</v>
      </c>
      <c r="AB62" s="64">
        <v>0.98724418613247245</v>
      </c>
      <c r="AC62" s="64">
        <v>0.98724418613247245</v>
      </c>
      <c r="AD62" s="64">
        <v>0.05</v>
      </c>
      <c r="AE62" s="64">
        <v>0.27287593781218811</v>
      </c>
      <c r="AF62" s="64">
        <v>11.166083395758999</v>
      </c>
      <c r="AG62" s="33">
        <v>234.03825870252879</v>
      </c>
      <c r="AH62" s="33">
        <v>441.07210293938112</v>
      </c>
      <c r="AI62" s="33">
        <v>32.085436049305358</v>
      </c>
      <c r="AJ62" s="65">
        <v>60.468706400613939</v>
      </c>
    </row>
    <row r="63" spans="1:36" x14ac:dyDescent="0.2">
      <c r="A63" s="28">
        <v>47027</v>
      </c>
      <c r="B63" s="29">
        <v>28.51</v>
      </c>
      <c r="C63" s="29">
        <v>30.91</v>
      </c>
      <c r="D63" s="29">
        <v>28.06</v>
      </c>
      <c r="E63" s="29">
        <v>30.46</v>
      </c>
      <c r="F63" s="29">
        <v>26.97</v>
      </c>
      <c r="G63" s="29">
        <v>28.98</v>
      </c>
      <c r="H63" s="62">
        <v>60</v>
      </c>
      <c r="I63" s="62">
        <v>94.868329805051388</v>
      </c>
      <c r="J63" s="62">
        <v>4.0530200835472776</v>
      </c>
      <c r="K63" s="62">
        <v>18.883269769482915</v>
      </c>
      <c r="L63" s="62">
        <v>0</v>
      </c>
      <c r="M63" s="62">
        <v>0.5</v>
      </c>
      <c r="N63" s="62">
        <v>7</v>
      </c>
      <c r="O63" s="62">
        <v>7</v>
      </c>
      <c r="P63" s="62">
        <v>7</v>
      </c>
      <c r="Q63" s="62">
        <v>7</v>
      </c>
      <c r="R63" s="62">
        <v>7.024816125369715E-2</v>
      </c>
      <c r="S63" s="62">
        <v>1.9902258414182799</v>
      </c>
      <c r="T63" s="62">
        <v>0.27001815918400179</v>
      </c>
      <c r="U63" s="62">
        <v>7.403640130076</v>
      </c>
      <c r="V63" s="62">
        <v>223.640226267174</v>
      </c>
      <c r="W63" s="62">
        <v>88.401561429960736</v>
      </c>
      <c r="X63" s="62">
        <v>0.55578538466049754</v>
      </c>
      <c r="Y63" s="62">
        <v>0</v>
      </c>
      <c r="Z63" s="62">
        <v>9.6330392141172685E-3</v>
      </c>
      <c r="AA63" s="62">
        <v>0.98739306080486355</v>
      </c>
      <c r="AB63" s="62">
        <v>0.98739306080486355</v>
      </c>
      <c r="AC63" s="62">
        <v>0.98739306080486355</v>
      </c>
      <c r="AD63" s="62">
        <v>0.05</v>
      </c>
      <c r="AE63" s="62">
        <v>0.27291708701966466</v>
      </c>
      <c r="AF63" s="62">
        <v>11.16776722268</v>
      </c>
      <c r="AG63" s="29">
        <v>234.0157379594682</v>
      </c>
      <c r="AH63" s="29">
        <v>441.02966000053618</v>
      </c>
      <c r="AI63" s="29">
        <v>32.090274476158065</v>
      </c>
      <c r="AJ63" s="63">
        <v>60.477824974297889</v>
      </c>
    </row>
    <row r="64" spans="1:36" x14ac:dyDescent="0.2">
      <c r="A64" s="32">
        <v>47058</v>
      </c>
      <c r="B64" s="33">
        <v>29.38</v>
      </c>
      <c r="C64" s="33">
        <v>31.86</v>
      </c>
      <c r="D64" s="33">
        <v>28.93</v>
      </c>
      <c r="E64" s="33">
        <v>31.41</v>
      </c>
      <c r="F64" s="33">
        <v>27.81</v>
      </c>
      <c r="G64" s="33">
        <v>29.88</v>
      </c>
      <c r="H64" s="64">
        <v>60</v>
      </c>
      <c r="I64" s="64">
        <v>94.868329805051388</v>
      </c>
      <c r="J64" s="64">
        <v>4.0526300191596771</v>
      </c>
      <c r="K64" s="64">
        <v>19.340438670833557</v>
      </c>
      <c r="L64" s="64">
        <v>0</v>
      </c>
      <c r="M64" s="64">
        <v>0.5</v>
      </c>
      <c r="N64" s="64">
        <v>7</v>
      </c>
      <c r="O64" s="64">
        <v>7</v>
      </c>
      <c r="P64" s="64">
        <v>7</v>
      </c>
      <c r="Q64" s="64">
        <v>7</v>
      </c>
      <c r="R64" s="64">
        <v>7.2358589076491328E-2</v>
      </c>
      <c r="S64" s="64">
        <v>2.9850514518471782</v>
      </c>
      <c r="T64" s="64">
        <v>0.26999217252078966</v>
      </c>
      <c r="U64" s="64">
        <v>7.4029276005810001</v>
      </c>
      <c r="V64" s="64">
        <v>223.640226267174</v>
      </c>
      <c r="W64" s="64">
        <v>88.401561429960736</v>
      </c>
      <c r="X64" s="64">
        <v>0.55586918744910829</v>
      </c>
      <c r="Y64" s="64">
        <v>0</v>
      </c>
      <c r="Z64" s="64">
        <v>9.9248907495663972E-3</v>
      </c>
      <c r="AA64" s="64">
        <v>0.98754194253913397</v>
      </c>
      <c r="AB64" s="64">
        <v>0.98754194253913397</v>
      </c>
      <c r="AC64" s="64">
        <v>0.98754194253913397</v>
      </c>
      <c r="AD64" s="64">
        <v>0.05</v>
      </c>
      <c r="AE64" s="64">
        <v>0.40943735726858466</v>
      </c>
      <c r="AF64" s="64">
        <v>11.169451126742</v>
      </c>
      <c r="AG64" s="33">
        <v>233.99321618468437</v>
      </c>
      <c r="AH64" s="33">
        <v>440.98721511728974</v>
      </c>
      <c r="AI64" s="33">
        <v>32.095113132521853</v>
      </c>
      <c r="AJ64" s="65">
        <v>60.486943980521957</v>
      </c>
    </row>
    <row r="65" spans="1:36" x14ac:dyDescent="0.2">
      <c r="A65" s="36">
        <v>47088</v>
      </c>
      <c r="B65" s="37">
        <v>30.13</v>
      </c>
      <c r="C65" s="37">
        <v>32.67</v>
      </c>
      <c r="D65" s="37">
        <v>29.68</v>
      </c>
      <c r="E65" s="37">
        <v>32.22</v>
      </c>
      <c r="F65" s="37">
        <v>28.53</v>
      </c>
      <c r="G65" s="37">
        <v>30.66</v>
      </c>
      <c r="H65" s="66">
        <v>60</v>
      </c>
      <c r="I65" s="66">
        <v>94.868329805051388</v>
      </c>
      <c r="J65" s="66">
        <v>4.0522402299567206</v>
      </c>
      <c r="K65" s="66">
        <v>20.301458259380933</v>
      </c>
      <c r="L65" s="66">
        <v>0</v>
      </c>
      <c r="M65" s="66">
        <v>0.5</v>
      </c>
      <c r="N65" s="66">
        <v>7</v>
      </c>
      <c r="O65" s="66">
        <v>7</v>
      </c>
      <c r="P65" s="66">
        <v>7</v>
      </c>
      <c r="Q65" s="66">
        <v>7</v>
      </c>
      <c r="R65" s="66">
        <v>7.4313383918120104E-2</v>
      </c>
      <c r="S65" s="66">
        <v>2.9847643442600811</v>
      </c>
      <c r="T65" s="66">
        <v>0.26996620419078327</v>
      </c>
      <c r="U65" s="66">
        <v>7.4022155737649999</v>
      </c>
      <c r="V65" s="66">
        <v>223.640226267174</v>
      </c>
      <c r="W65" s="66">
        <v>88.401561429960736</v>
      </c>
      <c r="X65" s="66">
        <v>0.55595293098071774</v>
      </c>
      <c r="Y65" s="66">
        <v>0</v>
      </c>
      <c r="Z65" s="66">
        <v>1.0195531690241526E-2</v>
      </c>
      <c r="AA65" s="66">
        <v>0.98769071899904215</v>
      </c>
      <c r="AB65" s="66">
        <v>0.98769071899904215</v>
      </c>
      <c r="AC65" s="66">
        <v>0.98769071899904215</v>
      </c>
      <c r="AD65" s="66">
        <v>0.05</v>
      </c>
      <c r="AE65" s="66">
        <v>0.40949904036065865</v>
      </c>
      <c r="AF65" s="66">
        <v>11.171133842838</v>
      </c>
      <c r="AG65" s="37">
        <v>233.97071029867885</v>
      </c>
      <c r="AH65" s="37">
        <v>440.94480017827937</v>
      </c>
      <c r="AI65" s="37">
        <v>32.099948367468869</v>
      </c>
      <c r="AJ65" s="67">
        <v>60.496056538691334</v>
      </c>
    </row>
  </sheetData>
  <mergeCells count="31">
    <mergeCell ref="M1:M2"/>
    <mergeCell ref="H1:H2"/>
    <mergeCell ref="I1:I2"/>
    <mergeCell ref="J1:J2"/>
    <mergeCell ref="K1:K2"/>
    <mergeCell ref="L1:L2"/>
    <mergeCell ref="Z1:Z2"/>
    <mergeCell ref="N1:N2"/>
    <mergeCell ref="O1:O2"/>
    <mergeCell ref="P1:P2"/>
    <mergeCell ref="Q1:Q2"/>
    <mergeCell ref="R1:R2"/>
    <mergeCell ref="S1:S2"/>
    <mergeCell ref="T1:T2"/>
    <mergeCell ref="V1:V2"/>
    <mergeCell ref="W1:W2"/>
    <mergeCell ref="X1:X2"/>
    <mergeCell ref="Y1:Y2"/>
    <mergeCell ref="AN3:AN4"/>
    <mergeCell ref="AL2:AN2"/>
    <mergeCell ref="AA1:AA2"/>
    <mergeCell ref="AB1:AB2"/>
    <mergeCell ref="AC1:AC2"/>
    <mergeCell ref="AD1:AD2"/>
    <mergeCell ref="AE1:AE2"/>
    <mergeCell ref="AG1:AG2"/>
    <mergeCell ref="AH1:AH2"/>
    <mergeCell ref="AI1:AI2"/>
    <mergeCell ref="AJ1:AJ2"/>
    <mergeCell ref="AL3:AL4"/>
    <mergeCell ref="AM3:AM4"/>
  </mergeCells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</vt:lpstr>
      <vt:lpstr>PowerPrice Calc</vt:lpstr>
      <vt:lpstr>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Reinecke-Wilkendorff</dc:creator>
  <cp:lastModifiedBy>AASHUTOSH</cp:lastModifiedBy>
  <dcterms:created xsi:type="dcterms:W3CDTF">2025-06-16T08:42:31Z</dcterms:created>
  <dcterms:modified xsi:type="dcterms:W3CDTF">2025-08-21T06:33:30Z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d9a29f-7d17-4193-85e4-1bef0fc2e901_Enabled">
    <vt:lpwstr>true</vt:lpwstr>
  </property>
  <property fmtid="{D5CDD505-2E9C-101B-9397-08002B2CF9AE}" pid="3" name="MSIP_Label_b8d9a29f-7d17-4193-85e4-1bef0fc2e901_SetDate">
    <vt:lpwstr>2025-06-16T08:46:38Z</vt:lpwstr>
  </property>
  <property fmtid="{D5CDD505-2E9C-101B-9397-08002B2CF9AE}" pid="4" name="MSIP_Label_b8d9a29f-7d17-4193-85e4-1bef0fc2e901_Method">
    <vt:lpwstr>Standard</vt:lpwstr>
  </property>
  <property fmtid="{D5CDD505-2E9C-101B-9397-08002B2CF9AE}" pid="5" name="MSIP_Label_b8d9a29f-7d17-4193-85e4-1bef0fc2e901_Name">
    <vt:lpwstr>b8d9a29f-7d17-4193-85e4-1bef0fc2e901</vt:lpwstr>
  </property>
  <property fmtid="{D5CDD505-2E9C-101B-9397-08002B2CF9AE}" pid="6" name="MSIP_Label_b8d9a29f-7d17-4193-85e4-1bef0fc2e901_SiteId">
    <vt:lpwstr>100b3c99-f3e2-4da0-9c8a-b9d345742c36</vt:lpwstr>
  </property>
  <property fmtid="{D5CDD505-2E9C-101B-9397-08002B2CF9AE}" pid="7" name="MSIP_Label_b8d9a29f-7d17-4193-85e4-1bef0fc2e901_ActionId">
    <vt:lpwstr>8917d0c1-0cfe-4522-a953-5ac1ad84d5c1</vt:lpwstr>
  </property>
  <property fmtid="{D5CDD505-2E9C-101B-9397-08002B2CF9AE}" pid="8" name="MSIP_Label_b8d9a29f-7d17-4193-85e4-1bef0fc2e901_ContentBits">
    <vt:lpwstr>1</vt:lpwstr>
  </property>
  <property fmtid="{D5CDD505-2E9C-101B-9397-08002B2CF9AE}" pid="9" name="MSIP_Label_a8c544ca-bb84-4280-906e-934547e1d30c_Enabled">
    <vt:lpwstr>true</vt:lpwstr>
  </property>
  <property fmtid="{D5CDD505-2E9C-101B-9397-08002B2CF9AE}" pid="10" name="MSIP_Label_a8c544ca-bb84-4280-906e-934547e1d30c_SetDate">
    <vt:lpwstr>2025-06-17T07:46:34Z</vt:lpwstr>
  </property>
  <property fmtid="{D5CDD505-2E9C-101B-9397-08002B2CF9AE}" pid="11" name="MSIP_Label_a8c544ca-bb84-4280-906e-934547e1d30c_Method">
    <vt:lpwstr>Privileged</vt:lpwstr>
  </property>
  <property fmtid="{D5CDD505-2E9C-101B-9397-08002B2CF9AE}" pid="12" name="MSIP_Label_a8c544ca-bb84-4280-906e-934547e1d30c_Name">
    <vt:lpwstr>Internal - General Use</vt:lpwstr>
  </property>
  <property fmtid="{D5CDD505-2E9C-101B-9397-08002B2CF9AE}" pid="13" name="MSIP_Label_a8c544ca-bb84-4280-906e-934547e1d30c_SiteId">
    <vt:lpwstr>258ac4e4-146a-411e-9dc8-79a9e12fd6da</vt:lpwstr>
  </property>
  <property fmtid="{D5CDD505-2E9C-101B-9397-08002B2CF9AE}" pid="14" name="MSIP_Label_a8c544ca-bb84-4280-906e-934547e1d30c_ActionId">
    <vt:lpwstr>bf9d5333-7933-427f-a8ce-8ca2c4062f40</vt:lpwstr>
  </property>
  <property fmtid="{D5CDD505-2E9C-101B-9397-08002B2CF9AE}" pid="15" name="MSIP_Label_a8c544ca-bb84-4280-906e-934547e1d30c_ContentBits">
    <vt:lpwstr>2</vt:lpwstr>
  </property>
  <property fmtid="{D5CDD505-2E9C-101B-9397-08002B2CF9AE}" pid="16" name="MSIP_Label_a8c544ca-bb84-4280-906e-934547e1d30c_Tag">
    <vt:lpwstr>10, 0, 1, 1</vt:lpwstr>
  </property>
</Properties>
</file>